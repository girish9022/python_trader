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_trader\G\"/>
    </mc:Choice>
  </mc:AlternateContent>
  <xr:revisionPtr revIDLastSave="0" documentId="13_ncr:1_{F26161E9-5A30-4038-A461-E22147C948E8}" xr6:coauthVersionLast="47" xr6:coauthVersionMax="47" xr10:uidLastSave="{00000000-0000-0000-0000-000000000000}"/>
  <bookViews>
    <workbookView xWindow="28680" yWindow="-120" windowWidth="29040" windowHeight="15720" tabRatio="838" xr2:uid="{00000000-000D-0000-FFFF-FFFF00000000}"/>
  </bookViews>
  <sheets>
    <sheet name="User_Credential" sheetId="1" r:id="rId1"/>
    <sheet name="Config" sheetId="12" r:id="rId2"/>
    <sheet name="Chartink_Result" sheetId="13" r:id="rId3"/>
    <sheet name="Trade_Terminal" sheetId="2" r:id="rId4"/>
    <sheet name="OpenPosition" sheetId="7" r:id="rId5"/>
    <sheet name="OrderBook" sheetId="6" r:id="rId6"/>
    <sheet name="Holdings" sheetId="9" r:id="rId7"/>
    <sheet name="Option_Chain_Input" sheetId="3" r:id="rId8"/>
    <sheet name="Option_Chain_Output" sheetId="8" r:id="rId9"/>
    <sheet name="Option_Chain_Pro_Input" sheetId="10" r:id="rId10"/>
    <sheet name="Option_Chain_Pro_Output" sheetId="11" r:id="rId11"/>
  </sheets>
  <functionGroups builtInGroupCount="19"/>
  <definedNames>
    <definedName name="_xlnm._FilterDatabase" localSheetId="7" hidden="1">Option_Chain_Input!$A$1:$E$206</definedName>
    <definedName name="_xlnm._FilterDatabase" localSheetId="9" hidden="1">Option_Chain_Pro_Input!$A$1:$E$205</definedName>
    <definedName name="_xlnm._FilterDatabase" localSheetId="5" hidden="1">OrderBook!$A$1:$N$18</definedName>
    <definedName name="_xlnm._FilterDatabase" localSheetId="3" hidden="1">Trade_Terminal!$A$31:$AC$54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2" l="1"/>
  <c r="E4" i="3"/>
  <c r="V2" i="2"/>
  <c r="E4" i="10"/>
</calcChain>
</file>

<file path=xl/sharedStrings.xml><?xml version="1.0" encoding="utf-8"?>
<sst xmlns="http://schemas.openxmlformats.org/spreadsheetml/2006/main" count="1037" uniqueCount="454">
  <si>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</si>
  <si>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</si>
  <si>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</si>
  <si>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</si>
  <si>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</si>
  <si>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</si>
  <si>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</si>
  <si>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</si>
  <si>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</si>
  <si>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Close</t>
  </si>
  <si>
    <t>VWAP</t>
  </si>
  <si>
    <t>Best Buy Price</t>
  </si>
  <si>
    <t>Best Sell Price</t>
  </si>
  <si>
    <t>Volume</t>
  </si>
  <si>
    <t>LTP</t>
  </si>
  <si>
    <t>Percentage change</t>
  </si>
  <si>
    <t>Qty</t>
  </si>
  <si>
    <t>Entry Signal</t>
  </si>
  <si>
    <t>Exit Signal</t>
  </si>
  <si>
    <t>Target</t>
  </si>
  <si>
    <t>SL</t>
  </si>
  <si>
    <t>Trade Status</t>
  </si>
  <si>
    <t>-</t>
  </si>
  <si>
    <t>NSE:NIFTY INDEX</t>
  </si>
  <si>
    <t>NSE:INDIA VIX</t>
  </si>
  <si>
    <t>NSE:NIFTY BANK</t>
  </si>
  <si>
    <t>NSE:FIN NIFTY</t>
  </si>
  <si>
    <t>NSE:IDEA-EQ</t>
  </si>
  <si>
    <t>NSE:RELIANCE-EQ</t>
  </si>
  <si>
    <t>LotSize</t>
  </si>
  <si>
    <t>AARTIIND</t>
  </si>
  <si>
    <t>ABB</t>
  </si>
  <si>
    <t>ITC</t>
  </si>
  <si>
    <t>ABBOTINDIA</t>
  </si>
  <si>
    <t>ABCAPITAL</t>
  </si>
  <si>
    <t>ABFRL</t>
  </si>
  <si>
    <t>ACC</t>
  </si>
  <si>
    <t>ADANIENT</t>
  </si>
  <si>
    <t>ADANIPORTS</t>
  </si>
  <si>
    <t>ALKEM</t>
  </si>
  <si>
    <t>AMBUJACEM</t>
  </si>
  <si>
    <t>APOLLOHOSP</t>
  </si>
  <si>
    <t>APOLLOTYRE</t>
  </si>
  <si>
    <t>ASHOKLEY</t>
  </si>
  <si>
    <t>ASIANPAINT</t>
  </si>
  <si>
    <t>ASTRAL</t>
  </si>
  <si>
    <t>NIFTY</t>
  </si>
  <si>
    <t>BANKNIFTY</t>
  </si>
  <si>
    <t>FINNIFTY</t>
  </si>
  <si>
    <t>OI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</si>
  <si>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</si>
  <si>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</si>
  <si>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</si>
  <si>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</si>
  <si>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</si>
  <si>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</si>
  <si>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</si>
  <si>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</si>
  <si>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</si>
  <si>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</si>
  <si>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</si>
  <si>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</si>
  <si>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</si>
  <si>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</si>
  <si>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</si>
  <si>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</si>
  <si>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</si>
  <si>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</si>
  <si>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</si>
  <si>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</si>
  <si>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</si>
  <si>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</si>
  <si>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</si>
  <si>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</si>
  <si>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</si>
  <si>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</si>
  <si>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</si>
  <si>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</si>
  <si>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</si>
  <si>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</si>
  <si>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</si>
  <si>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</si>
  <si>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</si>
  <si>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</si>
  <si>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</si>
  <si>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</si>
  <si>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</si>
  <si>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</si>
  <si>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</si>
  <si>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</si>
  <si>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</si>
  <si>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</si>
  <si>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</si>
  <si>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</si>
  <si>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</si>
  <si>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</si>
  <si>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</si>
  <si>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</si>
  <si>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</si>
  <si>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</si>
  <si>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</si>
  <si>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</si>
  <si>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</si>
  <si>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</si>
  <si>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</si>
  <si>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GUJGASLTD</t>
  </si>
  <si>
    <t>HAL</t>
  </si>
  <si>
    <t>HAVELLS</t>
  </si>
  <si>
    <t>HCLTECH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</si>
  <si>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</si>
  <si>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</si>
  <si>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</si>
  <si>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</si>
  <si>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</si>
  <si>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</si>
  <si>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</si>
  <si>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</si>
  <si>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</si>
  <si>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</si>
  <si>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</si>
  <si>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</si>
  <si>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</si>
  <si>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</si>
  <si>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</si>
  <si>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</si>
  <si>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</si>
  <si>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</si>
  <si>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</si>
  <si>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</si>
  <si>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</si>
  <si>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</si>
  <si>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</si>
  <si>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</si>
  <si>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IOC</t>
  </si>
  <si>
    <t>IPCALAB</t>
  </si>
  <si>
    <t>IRCTC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</si>
  <si>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</si>
  <si>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</si>
  <si>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</si>
  <si>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</si>
  <si>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</si>
  <si>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</si>
  <si>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</si>
  <si>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</si>
  <si>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</si>
  <si>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</si>
  <si>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</si>
  <si>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</si>
  <si>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</si>
  <si>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</si>
  <si>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</si>
  <si>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</si>
  <si>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</si>
  <si>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</si>
  <si>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</si>
  <si>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</si>
  <si>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</si>
  <si>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</si>
  <si>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</si>
  <si>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</si>
  <si>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</si>
  <si>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</si>
  <si>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</si>
  <si>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</si>
  <si>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</si>
  <si>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</si>
  <si>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</si>
  <si>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</si>
  <si>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</si>
  <si>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</si>
  <si>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</si>
  <si>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</si>
  <si>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</si>
  <si>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</si>
  <si>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</si>
  <si>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</si>
  <si>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</si>
  <si>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</si>
  <si>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</si>
  <si>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</si>
  <si>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</si>
  <si>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</si>
  <si>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</si>
  <si>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</si>
  <si>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</si>
  <si>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</si>
  <si>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</si>
  <si>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</si>
  <si>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</si>
  <si>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</si>
  <si>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</si>
  <si>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</si>
  <si>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</si>
  <si>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</si>
  <si>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</si>
  <si>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</si>
  <si>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</si>
  <si>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</si>
  <si>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</si>
  <si>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</si>
  <si>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</si>
  <si>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</si>
  <si>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</si>
  <si>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</si>
  <si>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</si>
  <si>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</si>
  <si>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TRENT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</si>
  <si>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</si>
  <si>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</si>
  <si>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</si>
  <si>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</si>
  <si>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</si>
  <si>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</si>
  <si>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</si>
  <si>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</si>
  <si>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ZYDUSLIFE</t>
  </si>
  <si>
    <t>Tool_Activation_code</t>
  </si>
  <si>
    <t>Youtube</t>
  </si>
  <si>
    <t>Telegram</t>
  </si>
  <si>
    <t>Disclaimer : This tool has developed for traders to place a order via excel, its only an order execution tool not a trade suggestion. Any profit/loss happened due to any reason (technical/coding/….) end user will be only responsible. Please confirm if you want to use this tool.</t>
  </si>
  <si>
    <t>please update your finvasia credential
UserID , password is mandatory.
Please provide Totp,Vendor_code,api_secret to generate new session or provide existing token for login tool
Tool activation code should be PythonTrader or provided by developer</t>
  </si>
  <si>
    <t>Existing Token</t>
  </si>
  <si>
    <t>LoginMethod</t>
  </si>
  <si>
    <t>Welcome To Python Trader</t>
  </si>
  <si>
    <t>Tool developed by PythonTrader, Please follow us on social media site for more tools or freelancing work</t>
  </si>
  <si>
    <t>https://www.youtube.com/@pythontraders</t>
  </si>
  <si>
    <t>https://www.t.me/pythontrader</t>
  </si>
  <si>
    <t>BUY/SELL</t>
  </si>
  <si>
    <t>Entry Done @</t>
  </si>
  <si>
    <t>Exit Done @</t>
  </si>
  <si>
    <t>Latest SL</t>
  </si>
  <si>
    <t>PnL</t>
  </si>
  <si>
    <t>Exposure M.</t>
  </si>
  <si>
    <t>SPAN M.</t>
  </si>
  <si>
    <t>PYTHON TRADER</t>
  </si>
  <si>
    <t>Order Type</t>
  </si>
  <si>
    <t>Overall PnL</t>
  </si>
  <si>
    <t>Total Cash</t>
  </si>
  <si>
    <t>Used Margin</t>
  </si>
  <si>
    <t>OverALL PnL</t>
  </si>
  <si>
    <t>KillSwitch</t>
  </si>
  <si>
    <t>Reconfirm (0/1)</t>
  </si>
  <si>
    <t>Help : Please select execute in dropdown and reconfirm if you want to close all open position, 
it will close all your open position. 
So be careful while selecting/setting this value</t>
  </si>
  <si>
    <t>Please modify the cell whose header has orange colors. Others details will be set by system only.</t>
  </si>
  <si>
    <t>I accept the all Terms and Condition</t>
  </si>
  <si>
    <t>UserInput</t>
  </si>
  <si>
    <t>Symbol==&gt;&gt;</t>
  </si>
  <si>
    <t>RefreshRate==&gt;&gt;</t>
  </si>
  <si>
    <t>NoOfStrike==&gt;&gt;</t>
  </si>
  <si>
    <t>Additional Detail</t>
  </si>
  <si>
    <t>CALLS</t>
  </si>
  <si>
    <t>PUTS</t>
  </si>
  <si>
    <t>Delta</t>
  </si>
  <si>
    <t>CHNG IN OI</t>
  </si>
  <si>
    <t>VOLUME</t>
  </si>
  <si>
    <t>IV</t>
  </si>
  <si>
    <t>CHNG</t>
  </si>
  <si>
    <t>BID QTY</t>
  </si>
  <si>
    <t>BID PRICE</t>
  </si>
  <si>
    <t>ASK PRICE</t>
  </si>
  <si>
    <t>ASK QTY</t>
  </si>
  <si>
    <t>LTIM</t>
  </si>
  <si>
    <t>SHRIRAMFIN</t>
  </si>
  <si>
    <t>Python Trader</t>
  </si>
  <si>
    <t>Gamma</t>
  </si>
  <si>
    <t>Theta</t>
  </si>
  <si>
    <t>Vega</t>
  </si>
  <si>
    <t>Rho</t>
  </si>
  <si>
    <t>STRIKE</t>
  </si>
  <si>
    <t>Expiry List</t>
  </si>
  <si>
    <t>Segment==&gt;&gt;</t>
  </si>
  <si>
    <t>NFO-OPT</t>
  </si>
  <si>
    <t>Expiry==&gt;&gt;</t>
  </si>
  <si>
    <t>ExpiryType==&gt;&gt;</t>
  </si>
  <si>
    <t>GreekMatch==&gt;&gt;</t>
  </si>
  <si>
    <t>NSE</t>
  </si>
  <si>
    <t>Call</t>
  </si>
  <si>
    <t>Put</t>
  </si>
  <si>
    <t>Near Future LTP</t>
  </si>
  <si>
    <t>Max Pain at Strike</t>
  </si>
  <si>
    <t>Ltp at Max Pain</t>
  </si>
  <si>
    <t>ATM Strike</t>
  </si>
  <si>
    <t>LTP at ATM</t>
  </si>
  <si>
    <t>Total OI</t>
  </si>
  <si>
    <t>Total OI Change</t>
  </si>
  <si>
    <t>Max OI</t>
  </si>
  <si>
    <t>Max OI at Strike</t>
  </si>
  <si>
    <t>LTP of Max OI Strike</t>
  </si>
  <si>
    <t>Max Change in OI addition</t>
  </si>
  <si>
    <t>Max OI addition at Srike</t>
  </si>
  <si>
    <t>LTP of Max OI addition Strike</t>
  </si>
  <si>
    <t>Max Change in OI unwinding</t>
  </si>
  <si>
    <t>Max OI unwinding at Srike</t>
  </si>
  <si>
    <t>LTP of Max OI unwinding Strike</t>
  </si>
  <si>
    <t>Trade Mode</t>
  </si>
  <si>
    <t>Entry Limit Price</t>
  </si>
  <si>
    <t>Entry Order ID</t>
  </si>
  <si>
    <t>Entry Remarks</t>
  </si>
  <si>
    <t>Exit Order ID</t>
  </si>
  <si>
    <t>Exit Remarks</t>
  </si>
  <si>
    <t>Trail Enable</t>
  </si>
  <si>
    <t>Telegram Token</t>
  </si>
  <si>
    <t>Telegram ID</t>
  </si>
  <si>
    <t>Sheet/Group Name</t>
  </si>
  <si>
    <t>Enable</t>
  </si>
  <si>
    <t>Trade_Terminal, Order_Book, OpenPosition,Holdings</t>
  </si>
  <si>
    <t>Recommended/Latest Youtube Video</t>
  </si>
  <si>
    <t>Telegram Notification</t>
  </si>
  <si>
    <t>Option_Chain_Input, Option_Chain_Output</t>
  </si>
  <si>
    <t>Option_Chain_pro_Input, Option_Chain_Pro_Output</t>
  </si>
  <si>
    <t>Voice Alert</t>
  </si>
  <si>
    <t>Latest Tool Developed by Python Trader</t>
  </si>
  <si>
    <t>User Action</t>
  </si>
  <si>
    <t>5821125243:AAGS4E7lIREHNGP-zAROhWbZtaRIenNUXud</t>
  </si>
  <si>
    <t>PVRINOX</t>
  </si>
  <si>
    <t>011NSETEST</t>
  </si>
  <si>
    <t>021NSETEST</t>
  </si>
  <si>
    <t>031NSETEST</t>
  </si>
  <si>
    <t>041NSETEST</t>
  </si>
  <si>
    <t>051NSETEST</t>
  </si>
  <si>
    <t>061NSETEST</t>
  </si>
  <si>
    <t>071NSETEST</t>
  </si>
  <si>
    <t>081NSETEST</t>
  </si>
  <si>
    <t>091NSETEST</t>
  </si>
  <si>
    <t>101NSETEST</t>
  </si>
  <si>
    <t>111NSETEST</t>
  </si>
  <si>
    <t>121NSETEST</t>
  </si>
  <si>
    <t>131NSETEST</t>
  </si>
  <si>
    <t>141NSETEST</t>
  </si>
  <si>
    <t>151NSETEST</t>
  </si>
  <si>
    <t>161NSETEST</t>
  </si>
  <si>
    <t xml:space="preserve">
Python Installation https://www.youtube.com/watch?v=3oF2_AGxQOg&amp;ab_channel=PythonTrader
Multiple Option Chain https://www.youtube.com/watch?v=73Fpjhj86xs&amp;t=9s&amp;ab_channel=PythonTrader
Zerodha enctoken Login https://www.youtube.com/watch?v=oxe9M7hY7pg&amp;ab_channel=PythonTrader
Finvasia Trade Terminal https://www.youtube.com/watch?v=mPLBCT_Cxbw
Zerodha Trade Terminal https://www.youtube.com/watch?v=2MgPtQijtCw
Python Backtesting https://www.youtube.com/watch?v=_UN9sGeoeI4&amp;ab_channel=PythonTrader</t>
  </si>
  <si>
    <t xml:space="preserve">
Copy Trading tool (no paid api required) : Zerodha : 50 / user / month : https://youtu.be/tmrpKoTgH1I
Copy Trading tool : Finvasia : 50 / user / month : https://youtu.be/Pck2SDA9ao0
Bulk Order Slicing tool : Zerodha : 999 / year : https://youtu.be/ayOOtN_7CSE
Bulk Order Slicing tool : Finvasia : 999 / year : https://youtu.be/k-q_UnvUhNw
Multiple option chain : Zerodha : Free : https://www.youtube.com/watch?v=73Fpjhj86xs&amp;t=9s
Unlimited option chain generator into excel / gsheet : Zerodha : Free : https://youtu.be/73Fpjhj86xs
GTT order placement for finvasia : Finvasia : Free : https://youtu.be/3XW0OHj2_Ic
Investment (Grid trading) : Finvasia &amp; Zerodha : 10000 one time : nan
Rolling Straddle (option selling) : Finvasia : 5000 one time : nan
Excel Based Trade Terminal : Finvasia : Free : https://www.youtube.com/watch?v=mPLBCT_Cxbw
Excel Based Trade Terminal : Zerodha : Free : https://www.youtube.com/watch?v=2MgPtQijtCw
BOC 145 : Finvasia : Free : nan
BOC 200x : Finvasia : Free : https://www.youtube.com/watch?v=znsYASftZ88</t>
  </si>
  <si>
    <t>NRML</t>
  </si>
  <si>
    <t>Target time</t>
  </si>
  <si>
    <t>Closet Premium</t>
  </si>
  <si>
    <t>Stoploss %</t>
  </si>
  <si>
    <t>WEEKLY</t>
  </si>
  <si>
    <t>NSE:NIFTY MID SELECT</t>
  </si>
  <si>
    <t>BSE: IDFSENSEXE</t>
  </si>
  <si>
    <t>sr</t>
  </si>
  <si>
    <t>nsecode</t>
  </si>
  <si>
    <t>name</t>
  </si>
  <si>
    <t>bsecode</t>
  </si>
  <si>
    <t>per_chg</t>
  </si>
  <si>
    <t>close</t>
  </si>
  <si>
    <t>volume</t>
  </si>
  <si>
    <t>FORTIS</t>
  </si>
  <si>
    <t>Call LTP search</t>
  </si>
  <si>
    <t>Put LTP search</t>
  </si>
  <si>
    <t>Call Delta search</t>
  </si>
  <si>
    <t>Put Delta search</t>
  </si>
  <si>
    <t>171NSETEST</t>
  </si>
  <si>
    <t>181NSETEST</t>
  </si>
  <si>
    <t>LTF</t>
  </si>
  <si>
    <t>UNITDSPR</t>
  </si>
  <si>
    <t>NIFTYNXT50</t>
  </si>
  <si>
    <t>ADANIENSOL</t>
  </si>
  <si>
    <t>ADANIGREEN</t>
  </si>
  <si>
    <t>ANGELONE</t>
  </si>
  <si>
    <t>APLAPOLLO</t>
  </si>
  <si>
    <t>BANKINDIA</t>
  </si>
  <si>
    <t>BSE</t>
  </si>
  <si>
    <t>CAMS</t>
  </si>
  <si>
    <t>CDSL</t>
  </si>
  <si>
    <t>CGPOWER</t>
  </si>
  <si>
    <t>CYIENT</t>
  </si>
  <si>
    <t>DELHIVERY</t>
  </si>
  <si>
    <t>DMART</t>
  </si>
  <si>
    <t>ETERNAL</t>
  </si>
  <si>
    <t>GMRAIRPORT</t>
  </si>
  <si>
    <t>HFCL</t>
  </si>
  <si>
    <t>HINDZINC</t>
  </si>
  <si>
    <t>HUDCO</t>
  </si>
  <si>
    <t>IIFL</t>
  </si>
  <si>
    <t>INDIANB</t>
  </si>
  <si>
    <t>INOXWIND</t>
  </si>
  <si>
    <t>IREDA</t>
  </si>
  <si>
    <t>IRFC</t>
  </si>
  <si>
    <t>JIOFIN</t>
  </si>
  <si>
    <t>JSWENERGY</t>
  </si>
  <si>
    <t>KALYANKJIL</t>
  </si>
  <si>
    <t>KEI</t>
  </si>
  <si>
    <t>KPITTECH</t>
  </si>
  <si>
    <t>LICI</t>
  </si>
  <si>
    <t>LODHA</t>
  </si>
  <si>
    <t>MAXHEALTH</t>
  </si>
  <si>
    <t>NBCC</t>
  </si>
  <si>
    <t>NCC</t>
  </si>
  <si>
    <t>NHPC</t>
  </si>
  <si>
    <t>NYKAA</t>
  </si>
  <si>
    <t>OIL</t>
  </si>
  <si>
    <t>PATANJALI</t>
  </si>
  <si>
    <t>PAYTM</t>
  </si>
  <si>
    <t>PHOENIXLTD</t>
  </si>
  <si>
    <t>PNBHOUSING</t>
  </si>
  <si>
    <t>POLICYBZR</t>
  </si>
  <si>
    <t>PRESTIGE</t>
  </si>
  <si>
    <t>SOLARINDS</t>
  </si>
  <si>
    <t>SONACOMS</t>
  </si>
  <si>
    <t>SUPREMEIND</t>
  </si>
  <si>
    <t>TATAELXSI</t>
  </si>
  <si>
    <t>TATATECH</t>
  </si>
  <si>
    <t>TIINDIA</t>
  </si>
  <si>
    <t>TITAGARH</t>
  </si>
  <si>
    <t>TORNTPOWER</t>
  </si>
  <si>
    <t>UNIONBANK</t>
  </si>
  <si>
    <t>VBL</t>
  </si>
  <si>
    <t>YESBANK</t>
  </si>
  <si>
    <t>Paper</t>
  </si>
  <si>
    <t>BDL</t>
  </si>
  <si>
    <t>BLUESTARCO</t>
  </si>
  <si>
    <t>KAYNES</t>
  </si>
  <si>
    <t>MANKIND</t>
  </si>
  <si>
    <t>MAZDOCK</t>
  </si>
  <si>
    <t>PPLPHARMA</t>
  </si>
  <si>
    <t>RVNL</t>
  </si>
  <si>
    <t>UNOMINDA</t>
  </si>
  <si>
    <t>360ONE</t>
  </si>
  <si>
    <t>AMBER</t>
  </si>
  <si>
    <t>KFINTECH</t>
  </si>
  <si>
    <t>PGEL</t>
  </si>
  <si>
    <t>NUVAMA</t>
  </si>
  <si>
    <t>SUZLON</t>
  </si>
  <si>
    <t>NFO: 26400 FINNIFTY</t>
  </si>
  <si>
    <t>BSE:SENSEX50</t>
  </si>
  <si>
    <t>BSE:BANKEX</t>
  </si>
  <si>
    <t>BSE:SENSEX1</t>
  </si>
  <si>
    <t>BCG</t>
  </si>
  <si>
    <t>Brightcom Group Ltd</t>
  </si>
  <si>
    <t>RPOWER</t>
  </si>
  <si>
    <t>Reliance Power Limited</t>
  </si>
  <si>
    <t>GMR Airports Ltd</t>
  </si>
  <si>
    <t>Indian Oil Corporation Limited</t>
  </si>
  <si>
    <t>Reliance Industries Limited</t>
  </si>
  <si>
    <t>TRIDENT</t>
  </si>
  <si>
    <t>Trident Limited</t>
  </si>
  <si>
    <t>Hcl Technologies Limited</t>
  </si>
  <si>
    <t>CLEAN</t>
  </si>
  <si>
    <t>Clean Science &amp; Technology Ltd</t>
  </si>
  <si>
    <t>The Indian Hotels Company Limited</t>
  </si>
  <si>
    <t>FINPIPE</t>
  </si>
  <si>
    <t>Finolex Industries Limited</t>
  </si>
  <si>
    <t>SAMMAANCAP</t>
  </si>
  <si>
    <t>BFO:SENSEX25SEP81000PE</t>
  </si>
  <si>
    <t>BFO:SENSEX25SEP81000CE</t>
  </si>
  <si>
    <t>NFO: NIFTY30SEP25C25000</t>
  </si>
  <si>
    <t>NFO: NIFTY30SEP25P25000</t>
  </si>
  <si>
    <t>NFO: BANKNIFTY30SEP25C54000</t>
  </si>
  <si>
    <t>NFO: BANKNIFTY30SEP25P56000</t>
  </si>
  <si>
    <t>NFO: MIDCPNIFTY30SEP25C13000</t>
  </si>
  <si>
    <t>NFO: MIDCPNIFTY30SEP25P13000</t>
  </si>
  <si>
    <t>NFO: FINNIFTY30SEP25C26800</t>
  </si>
  <si>
    <t>NFO: FINNIFTY30SEP25P26800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</si>
</sst>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&quot;₹&quot;\ #,##0.00"/>
    <numFmt numFmtId="165" formatCode="hh\:mm\:ss"/>
    <numFmt numFmtId="166" formatCode="_ * #,##0_ ;_ * \-#,##0_ ;_ * &quot;-&quot;??_ ;_ @_ "/>
  </numFmts>
  <fonts count="23" x14ac:knownFonts="1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sz val="11"/>
      <color rgb="FF212226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7"/>
      <color rgb="FFFFFFFF"/>
      <name val="Roboto"/>
    </font>
    <font>
      <sz val="11"/>
      <color rgb="FFFF0000"/>
      <name val="Roboto"/>
    </font>
    <font>
      <sz val="12"/>
      <color rgb="FF222222"/>
      <name val="Arial"/>
      <family val="2"/>
    </font>
    <font>
      <sz val="12"/>
      <color theme="1"/>
      <name val="Calibri"/>
      <family val="2"/>
      <scheme val="minor"/>
    </font>
    <font>
      <sz val="10"/>
      <color rgb="FF1E1E1E"/>
      <name val="Segoe UI"/>
      <family val="2"/>
    </font>
    <font>
      <sz val="12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84C6"/>
        <bgColor indexed="64"/>
      </patternFill>
    </fill>
    <fill>
      <patternFill patternType="solid">
        <fgColor rgb="FFDCD620"/>
        <bgColor indexed="64"/>
      </patternFill>
    </fill>
    <fill>
      <patternFill patternType="solid">
        <fgColor rgb="FF76E0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A2D7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E3E3E3"/>
      </right>
      <top/>
      <bottom/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/>
      <diagonal/>
    </border>
    <border>
      <left/>
      <right style="medium">
        <color rgb="FFE3E3E3"/>
      </right>
      <top style="medium">
        <color rgb="FFE3E3E3"/>
      </top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11" borderId="3" applyNumberFormat="0" applyAlignment="0" applyProtection="0"/>
    <xf numFmtId="0" fontId="7" fillId="12" borderId="4" applyNumberFormat="0" applyFont="0" applyAlignment="0" applyProtection="0"/>
    <xf numFmtId="0" fontId="19" fillId="0" borderId="0"/>
    <xf numFmtId="43" fontId="7" fillId="0" borderId="0" applyFont="0" applyFill="0" applyBorder="0" applyAlignment="0" applyProtection="0"/>
  </cellStyleXfs>
  <cellXfs count="89">
    <xf numFmtId="0" fontId="0" fillId="0" borderId="0" xfId="0"/>
    <xf numFmtId="49" fontId="0" fillId="2" borderId="0" xfId="0" applyNumberFormat="1" applyFill="1"/>
    <xf numFmtId="49" fontId="0" fillId="0" borderId="0" xfId="0" applyNumberFormat="1"/>
    <xf numFmtId="0" fontId="5" fillId="6" borderId="0" xfId="1" applyFill="1" applyBorder="1" applyAlignment="1" applyProtection="1">
      <alignment horizontal="center"/>
    </xf>
    <xf numFmtId="49" fontId="0" fillId="3" borderId="0" xfId="0" applyNumberFormat="1" applyFill="1" applyAlignment="1">
      <alignment vertical="top" wrapText="1"/>
    </xf>
    <xf numFmtId="0" fontId="3" fillId="9" borderId="0" xfId="0" applyFont="1" applyFill="1"/>
    <xf numFmtId="1" fontId="0" fillId="9" borderId="0" xfId="0" applyNumberFormat="1" applyFill="1"/>
    <xf numFmtId="0" fontId="4" fillId="9" borderId="0" xfId="0" applyFont="1" applyFill="1"/>
    <xf numFmtId="49" fontId="0" fillId="10" borderId="0" xfId="0" applyNumberFormat="1" applyFill="1"/>
    <xf numFmtId="49" fontId="9" fillId="3" borderId="2" xfId="0" applyNumberFormat="1" applyFont="1" applyFill="1" applyBorder="1" applyAlignment="1">
      <alignment horizontal="center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0" fontId="10" fillId="11" borderId="2" xfId="2" applyFont="1" applyBorder="1" applyAlignment="1">
      <alignment horizontal="center" vertical="center" wrapText="1"/>
    </xf>
    <xf numFmtId="0" fontId="10" fillId="11" borderId="2" xfId="2" applyFont="1" applyBorder="1" applyAlignment="1">
      <alignment horizontal="center" vertical="center"/>
    </xf>
    <xf numFmtId="0" fontId="8" fillId="11" borderId="2" xfId="2" applyBorder="1" applyAlignment="1">
      <alignment horizontal="center" vertical="center"/>
    </xf>
    <xf numFmtId="164" fontId="10" fillId="13" borderId="7" xfId="2" applyNumberFormat="1" applyFont="1" applyFill="1" applyBorder="1" applyAlignment="1" applyProtection="1">
      <alignment horizontal="center" vertical="center"/>
    </xf>
    <xf numFmtId="164" fontId="10" fillId="11" borderId="7" xfId="2" applyNumberFormat="1" applyFont="1" applyBorder="1" applyAlignment="1" applyProtection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3" fillId="11" borderId="2" xfId="2" applyFont="1" applyBorder="1" applyAlignment="1">
      <alignment horizontal="center" vertical="center"/>
    </xf>
    <xf numFmtId="0" fontId="13" fillId="11" borderId="2" xfId="2" applyFont="1" applyBorder="1" applyAlignment="1">
      <alignment horizontal="center" vertical="center" wrapText="1"/>
    </xf>
    <xf numFmtId="164" fontId="10" fillId="10" borderId="7" xfId="2" applyNumberFormat="1" applyFont="1" applyFill="1" applyBorder="1" applyAlignment="1" applyProtection="1">
      <alignment horizontal="center" vertical="center"/>
    </xf>
    <xf numFmtId="0" fontId="0" fillId="16" borderId="0" xfId="0" applyFill="1" applyAlignment="1">
      <alignment horizontal="center" vertical="center"/>
    </xf>
    <xf numFmtId="14" fontId="0" fillId="0" borderId="0" xfId="0" applyNumberFormat="1"/>
    <xf numFmtId="0" fontId="14" fillId="18" borderId="11" xfId="0" applyFont="1" applyFill="1" applyBorder="1" applyAlignment="1">
      <alignment horizontal="center" vertical="center" wrapText="1"/>
    </xf>
    <xf numFmtId="0" fontId="4" fillId="0" borderId="0" xfId="0" applyFont="1"/>
    <xf numFmtId="0" fontId="14" fillId="18" borderId="0" xfId="0" applyFont="1" applyFill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4" fillId="18" borderId="12" xfId="0" applyFont="1" applyFill="1" applyBorder="1" applyAlignment="1">
      <alignment horizontal="center" vertical="center" wrapText="1"/>
    </xf>
    <xf numFmtId="0" fontId="14" fillId="18" borderId="13" xfId="0" applyFont="1" applyFill="1" applyBorder="1" applyAlignment="1">
      <alignment horizontal="center" vertical="center" wrapText="1"/>
    </xf>
    <xf numFmtId="0" fontId="0" fillId="13" borderId="2" xfId="0" applyFill="1" applyBorder="1"/>
    <xf numFmtId="0" fontId="0" fillId="5" borderId="2" xfId="0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0" borderId="2" xfId="0" applyBorder="1"/>
    <xf numFmtId="0" fontId="0" fillId="10" borderId="2" xfId="0" applyFill="1" applyBorder="1"/>
    <xf numFmtId="0" fontId="0" fillId="21" borderId="2" xfId="0" applyFill="1" applyBorder="1"/>
    <xf numFmtId="0" fontId="0" fillId="0" borderId="2" xfId="0" applyBorder="1" applyAlignment="1">
      <alignment horizontal="center" vertical="center"/>
    </xf>
    <xf numFmtId="0" fontId="0" fillId="13" borderId="0" xfId="0" applyFill="1"/>
    <xf numFmtId="49" fontId="0" fillId="2" borderId="2" xfId="0" applyNumberFormat="1" applyFill="1" applyBorder="1"/>
    <xf numFmtId="0" fontId="0" fillId="9" borderId="2" xfId="0" applyFill="1" applyBorder="1"/>
    <xf numFmtId="0" fontId="0" fillId="3" borderId="2" xfId="0" applyFill="1" applyBorder="1"/>
    <xf numFmtId="165" fontId="0" fillId="0" borderId="0" xfId="0" applyNumberFormat="1"/>
    <xf numFmtId="18" fontId="18" fillId="0" borderId="0" xfId="0" applyNumberFormat="1" applyFont="1"/>
    <xf numFmtId="166" fontId="0" fillId="0" borderId="2" xfId="5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/>
    <xf numFmtId="1" fontId="0" fillId="3" borderId="0" xfId="0" applyNumberFormat="1" applyFill="1"/>
    <xf numFmtId="0" fontId="2" fillId="8" borderId="0" xfId="0" applyFont="1" applyFill="1"/>
    <xf numFmtId="0" fontId="6" fillId="10" borderId="0" xfId="0" applyFont="1" applyFill="1"/>
    <xf numFmtId="0" fontId="4" fillId="0" borderId="0" xfId="0" applyFont="1"/>
    <xf numFmtId="0" fontId="3" fillId="0" borderId="0" xfId="0" applyFont="1"/>
    <xf numFmtId="0" fontId="16" fillId="0" borderId="0" xfId="0" applyFont="1"/>
    <xf numFmtId="0" fontId="5" fillId="8" borderId="0" xfId="1" applyFill="1" applyAlignment="1" applyProtection="1"/>
    <xf numFmtId="0" fontId="0" fillId="0" borderId="0" xfId="0"/>
    <xf numFmtId="0" fontId="0" fillId="0" borderId="0" xfId="0"/>
    <xf numFmtId="0" fontId="20" fillId="0" borderId="0" xfId="0" applyFont="1"/>
    <xf numFmtId="0" fontId="0" fillId="20" borderId="0" xfId="0" applyFill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 wrapText="1"/>
    </xf>
    <xf numFmtId="49" fontId="22" fillId="3" borderId="2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20" fillId="0" borderId="0" xfId="0" applyFont="1" applyBorder="1"/>
    <xf numFmtId="0" fontId="0" fillId="13" borderId="0" xfId="0" applyFill="1" applyBorder="1"/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7" borderId="0" xfId="0" applyNumberFormat="1" applyFill="1" applyAlignment="1">
      <alignment horizontal="center" vertical="center" wrapText="1"/>
    </xf>
    <xf numFmtId="49" fontId="0" fillId="20" borderId="0" xfId="0" applyNumberFormat="1" applyFill="1" applyAlignment="1">
      <alignment horizontal="center" vertical="center" wrapText="1"/>
    </xf>
    <xf numFmtId="49" fontId="0" fillId="3" borderId="0" xfId="0" applyNumberFormat="1" applyFill="1" applyAlignment="1">
      <alignment horizontal="left" vertical="top" wrapText="1"/>
    </xf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left"/>
    </xf>
    <xf numFmtId="0" fontId="0" fillId="5" borderId="0" xfId="0" applyFill="1" applyAlignment="1">
      <alignment horizontal="left" vertical="center" wrapText="1"/>
    </xf>
    <xf numFmtId="0" fontId="17" fillId="5" borderId="0" xfId="0" applyFont="1" applyFill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11" fillId="5" borderId="5" xfId="3" applyFont="1" applyFill="1" applyBorder="1" applyAlignment="1" applyProtection="1">
      <alignment horizontal="center" vertical="center"/>
    </xf>
    <xf numFmtId="0" fontId="11" fillId="12" borderId="0" xfId="3" applyFont="1" applyBorder="1" applyAlignment="1" applyProtection="1">
      <alignment horizontal="center" vertical="center"/>
    </xf>
    <xf numFmtId="0" fontId="11" fillId="12" borderId="6" xfId="3" applyFont="1" applyBorder="1" applyAlignment="1" applyProtection="1">
      <alignment horizontal="center" vertical="center"/>
    </xf>
    <xf numFmtId="0" fontId="11" fillId="12" borderId="5" xfId="3" applyFont="1" applyBorder="1" applyAlignment="1" applyProtection="1">
      <alignment horizontal="center" vertical="center"/>
    </xf>
    <xf numFmtId="49" fontId="9" fillId="3" borderId="5" xfId="0" applyNumberFormat="1" applyFont="1" applyFill="1" applyBorder="1" applyAlignment="1">
      <alignment horizontal="center" vertical="center" wrapText="1"/>
    </xf>
    <xf numFmtId="49" fontId="9" fillId="3" borderId="0" xfId="0" applyNumberFormat="1" applyFont="1" applyFill="1" applyAlignment="1">
      <alignment horizontal="center" vertical="center" wrapText="1"/>
    </xf>
    <xf numFmtId="49" fontId="9" fillId="3" borderId="10" xfId="0" applyNumberFormat="1" applyFont="1" applyFill="1" applyBorder="1" applyAlignment="1">
      <alignment horizontal="center" vertical="center" wrapText="1"/>
    </xf>
    <xf numFmtId="49" fontId="9" fillId="3" borderId="8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49" fontId="9" fillId="3" borderId="9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0" fontId="15" fillId="19" borderId="0" xfId="0" applyFont="1" applyFill="1" applyAlignment="1">
      <alignment horizontal="center" vertical="center" wrapText="1"/>
    </xf>
  </cellXfs>
  <cellStyles count="6">
    <cellStyle name="Comma" xfId="5" builtinId="3"/>
    <cellStyle name="Hyperlink" xfId="1" builtinId="8"/>
    <cellStyle name="Normal" xfId="0" builtinId="0"/>
    <cellStyle name="Normal 2" xfId="4" xr:uid="{FD47769A-A477-4BB3-B0DC-E62B931B32B4}"/>
    <cellStyle name="Note" xfId="3" builtinId="10"/>
    <cellStyle name="Output" xfId="2" builtinId="21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2242</xdr:colOff>
      <xdr:row>0</xdr:row>
      <xdr:rowOff>58270</xdr:rowOff>
    </xdr:from>
    <xdr:to>
      <xdr:col>20</xdr:col>
      <xdr:colOff>1019736</xdr:colOff>
      <xdr:row>1</xdr:row>
      <xdr:rowOff>190500</xdr:rowOff>
    </xdr:to>
    <xdr:sp macro="[0]!ScheduleMacroExecu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EB4439-D12C-6C95-D1FC-DF7DD0D33D39}"/>
            </a:ext>
          </a:extLst>
        </xdr:cNvPr>
        <xdr:cNvSpPr/>
      </xdr:nvSpPr>
      <xdr:spPr>
        <a:xfrm>
          <a:off x="8305801" y="58270"/>
          <a:ext cx="1835523" cy="378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 Micro at 09:45AM</a:t>
          </a:r>
          <a:endParaRPr lang="en-IN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39703</xdr:colOff>
      <xdr:row>0</xdr:row>
      <xdr:rowOff>62753</xdr:rowOff>
    </xdr:from>
    <xdr:to>
      <xdr:col>23</xdr:col>
      <xdr:colOff>437030</xdr:colOff>
      <xdr:row>1</xdr:row>
      <xdr:rowOff>190500</xdr:rowOff>
    </xdr:to>
    <xdr:sp macro="[0]!Buy_hed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3B09E7-C8F0-4E12-8496-486CD1928932}"/>
            </a:ext>
          </a:extLst>
        </xdr:cNvPr>
        <xdr:cNvSpPr/>
      </xdr:nvSpPr>
      <xdr:spPr>
        <a:xfrm>
          <a:off x="10954232" y="62753"/>
          <a:ext cx="946416" cy="374276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15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200" b="0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/>
              <a:ea typeface="+mn-ea"/>
              <a:cs typeface="+mn-cs"/>
            </a:rPr>
            <a:t>Buy HEdges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tabSelected="1" zoomScale="85" zoomScaleNormal="85" workbookViewId="0">
      <selection activeCell="H12" sqref="H12"/>
    </sheetView>
  </sheetViews>
  <sheetFormatPr defaultRowHeight="15" x14ac:dyDescent="0.25"/>
  <cols>
    <col min="1" max="1" width="45.7109375" bestFit="1" customWidth="1"/>
    <col min="2" max="2" width="44.28515625" customWidth="1"/>
    <col min="3" max="3" width="69.28515625" customWidth="1"/>
    <col min="5" max="5" width="41.140625" bestFit="1" customWidth="1"/>
  </cols>
  <sheetData>
    <row r="1" spans="1:5" ht="26.25" x14ac:dyDescent="0.4">
      <c r="A1" s="62" t="s">
        <v>223</v>
      </c>
      <c r="B1" s="63"/>
      <c r="C1" s="63"/>
    </row>
    <row r="2" spans="1:5" x14ac:dyDescent="0.25">
      <c r="A2" s="1" t="s">
        <v>0</v>
      </c>
      <c r="B2" s="47"/>
      <c r="C2" s="66"/>
    </row>
    <row r="3" spans="1:5" x14ac:dyDescent="0.25">
      <c r="A3" s="1" t="s">
        <v>1</v>
      </c>
      <c r="B3" s="52"/>
      <c r="C3" s="67"/>
    </row>
    <row r="4" spans="1:5" x14ac:dyDescent="0.25">
      <c r="A4" s="8" t="s">
        <v>222</v>
      </c>
      <c r="B4" s="48"/>
      <c r="C4" s="67"/>
    </row>
    <row r="5" spans="1:5" x14ac:dyDescent="0.25">
      <c r="A5" s="1" t="s">
        <v>2</v>
      </c>
      <c r="B5" s="50"/>
      <c r="C5" s="67"/>
      <c r="E5" s="5"/>
    </row>
    <row r="6" spans="1:5" x14ac:dyDescent="0.25">
      <c r="A6" s="1" t="s">
        <v>3</v>
      </c>
      <c r="B6" s="47"/>
      <c r="C6" s="1"/>
      <c r="E6" s="6"/>
    </row>
    <row r="7" spans="1:5" x14ac:dyDescent="0.25">
      <c r="A7" s="1" t="s">
        <v>4</v>
      </c>
      <c r="B7" s="49"/>
      <c r="C7" s="1"/>
      <c r="E7" s="7"/>
    </row>
    <row r="8" spans="1:5" ht="15.75" x14ac:dyDescent="0.25">
      <c r="A8" s="1" t="s">
        <v>221</v>
      </c>
      <c r="B8" s="51"/>
      <c r="C8" s="23"/>
      <c r="E8" s="8"/>
    </row>
    <row r="9" spans="1:5" x14ac:dyDescent="0.25">
      <c r="A9" s="1" t="s">
        <v>216</v>
      </c>
      <c r="B9" s="46"/>
      <c r="C9" s="23"/>
    </row>
    <row r="10" spans="1:5" x14ac:dyDescent="0.25">
      <c r="A10" s="38" t="s">
        <v>301</v>
      </c>
      <c r="B10" s="45"/>
      <c r="C10" s="2"/>
    </row>
    <row r="11" spans="1:5" x14ac:dyDescent="0.25">
      <c r="A11" s="38" t="s">
        <v>302</v>
      </c>
      <c r="B11" s="54"/>
    </row>
    <row r="12" spans="1:5" ht="84" customHeight="1" x14ac:dyDescent="0.25">
      <c r="A12" s="68" t="s">
        <v>220</v>
      </c>
      <c r="B12" s="68"/>
      <c r="C12" s="68"/>
    </row>
    <row r="14" spans="1:5" x14ac:dyDescent="0.25">
      <c r="A14" s="64" t="s">
        <v>224</v>
      </c>
      <c r="B14" s="65"/>
      <c r="C14" s="2"/>
    </row>
    <row r="15" spans="1:5" x14ac:dyDescent="0.25">
      <c r="A15" s="1" t="s">
        <v>217</v>
      </c>
      <c r="B15" s="3" t="s">
        <v>225</v>
      </c>
      <c r="C15" t="s">
        <v>313</v>
      </c>
    </row>
    <row r="16" spans="1:5" x14ac:dyDescent="0.25">
      <c r="A16" s="1" t="s">
        <v>218</v>
      </c>
      <c r="B16" s="3" t="s">
        <v>226</v>
      </c>
    </row>
    <row r="18" spans="1:9" ht="37.15" customHeight="1" x14ac:dyDescent="0.25">
      <c r="A18" s="69" t="s">
        <v>219</v>
      </c>
      <c r="B18" s="69"/>
      <c r="C18" s="69"/>
    </row>
    <row r="19" spans="1:9" x14ac:dyDescent="0.25">
      <c r="B19" s="4" t="s">
        <v>244</v>
      </c>
    </row>
    <row r="20" spans="1:9" x14ac:dyDescent="0.25">
      <c r="F20" s="47"/>
      <c r="I20" s="47"/>
    </row>
    <row r="21" spans="1:9" x14ac:dyDescent="0.25">
      <c r="F21" s="52"/>
      <c r="I21" s="52"/>
    </row>
    <row r="22" spans="1:9" x14ac:dyDescent="0.25">
      <c r="F22" s="48"/>
      <c r="I22" s="48"/>
    </row>
    <row r="23" spans="1:9" x14ac:dyDescent="0.25">
      <c r="F23" s="50"/>
      <c r="I23" s="50"/>
    </row>
    <row r="24" spans="1:9" x14ac:dyDescent="0.25">
      <c r="F24" s="47"/>
      <c r="I24" s="47"/>
    </row>
    <row r="25" spans="1:9" x14ac:dyDescent="0.25">
      <c r="F25" s="49"/>
      <c r="I25" s="49"/>
    </row>
    <row r="26" spans="1:9" ht="15.75" x14ac:dyDescent="0.25">
      <c r="F26" s="51"/>
      <c r="I26" s="51"/>
    </row>
    <row r="27" spans="1:9" x14ac:dyDescent="0.25">
      <c r="F27" s="46"/>
      <c r="I27" s="46"/>
    </row>
    <row r="28" spans="1:9" x14ac:dyDescent="0.25">
      <c r="F28" s="45"/>
      <c r="I28" s="45"/>
    </row>
    <row r="29" spans="1:9" x14ac:dyDescent="0.25">
      <c r="F29" s="54"/>
      <c r="I29" s="54"/>
    </row>
  </sheetData>
  <mergeCells count="5">
    <mergeCell ref="A1:C1"/>
    <mergeCell ref="A14:B14"/>
    <mergeCell ref="C2:C5"/>
    <mergeCell ref="A12:C12"/>
    <mergeCell ref="A18:C18"/>
  </mergeCells>
  <dataValidations count="2">
    <dataValidation type="list" allowBlank="1" showInputMessage="1" showErrorMessage="1" sqref="F22 I22 B4" xr:uid="{00000000-0002-0000-0000-000000000000}">
      <formula1>"New_Session,Old_Token"</formula1>
    </dataValidation>
    <dataValidation type="list" allowBlank="1" showInputMessage="1" showErrorMessage="1" sqref="B19" xr:uid="{00000000-0002-0000-0000-000001000000}">
      <formula1>"Reject, I accept the all Terms and Condition"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"/>
  <sheetViews>
    <sheetView workbookViewId="0">
      <selection activeCell="B41" sqref="B41"/>
    </sheetView>
  </sheetViews>
  <sheetFormatPr defaultRowHeight="15" x14ac:dyDescent="0.25"/>
  <cols>
    <col min="1" max="1" width="45.42578125" bestFit="1" customWidth="1"/>
  </cols>
  <sheetData>
    <row r="1" spans="1:15" x14ac:dyDescent="0.25">
      <c r="A1" s="39" t="s">
        <v>303</v>
      </c>
      <c r="B1" s="39" t="s">
        <v>304</v>
      </c>
    </row>
    <row r="2" spans="1:15" x14ac:dyDescent="0.25">
      <c r="A2" s="34" t="s">
        <v>305</v>
      </c>
      <c r="B2" s="40" t="b">
        <v>1</v>
      </c>
      <c r="D2" s="70" t="s">
        <v>306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</row>
    <row r="3" spans="1:15" x14ac:dyDescent="0.25">
      <c r="A3" s="34" t="s">
        <v>307</v>
      </c>
      <c r="B3" s="40" t="b">
        <v>0</v>
      </c>
      <c r="D3" s="71" t="s">
        <v>331</v>
      </c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</row>
    <row r="4" spans="1:15" x14ac:dyDescent="0.25">
      <c r="A4" s="34" t="s">
        <v>308</v>
      </c>
      <c r="B4" s="40" t="b">
        <v>1</v>
      </c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15" x14ac:dyDescent="0.25">
      <c r="A5" s="34" t="s">
        <v>309</v>
      </c>
      <c r="B5" s="40" t="b">
        <v>0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</row>
    <row r="6" spans="1:15" x14ac:dyDescent="0.25">
      <c r="A6" s="34" t="s">
        <v>310</v>
      </c>
      <c r="B6" s="40" t="b">
        <v>0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</row>
    <row r="7" spans="1:15" x14ac:dyDescent="0.25"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15" x14ac:dyDescent="0.25"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</row>
    <row r="9" spans="1:15" x14ac:dyDescent="0.25">
      <c r="D9" s="70" t="s">
        <v>311</v>
      </c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</row>
    <row r="10" spans="1:15" x14ac:dyDescent="0.25">
      <c r="D10" s="72" t="s">
        <v>332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1" spans="1:15" x14ac:dyDescent="0.25"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</row>
    <row r="12" spans="1:15" x14ac:dyDescent="0.25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15" x14ac:dyDescent="0.25"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15" x14ac:dyDescent="0.25"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</row>
    <row r="15" spans="1:15" x14ac:dyDescent="0.25"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</row>
    <row r="16" spans="1:15" x14ac:dyDescent="0.25"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</row>
    <row r="17" spans="4:15" x14ac:dyDescent="0.25"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</row>
    <row r="18" spans="4:15" x14ac:dyDescent="0.25"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</row>
    <row r="19" spans="4:15" x14ac:dyDescent="0.25"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</row>
    <row r="20" spans="4:15" x14ac:dyDescent="0.25"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</row>
    <row r="21" spans="4:15" x14ac:dyDescent="0.25"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</row>
    <row r="22" spans="4:15" x14ac:dyDescent="0.25"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</row>
    <row r="23" spans="4:15" x14ac:dyDescent="0.25"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4" spans="4:15" x14ac:dyDescent="0.25"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</row>
    <row r="25" spans="4:15" x14ac:dyDescent="0.25"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</row>
    <row r="26" spans="4:15" x14ac:dyDescent="0.25"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</row>
  </sheetData>
  <mergeCells count="4">
    <mergeCell ref="D2:O2"/>
    <mergeCell ref="D3:O8"/>
    <mergeCell ref="D9:O9"/>
    <mergeCell ref="D10:O26"/>
  </mergeCells>
  <dataValidations count="1">
    <dataValidation type="list" allowBlank="1" showInputMessage="1" showErrorMessage="1" sqref="B2:B6" xr:uid="{00000000-0002-0000-0100-000000000000}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877B-80BB-4305-91B3-C40400BF98E5}">
  <sheetPr codeName="Sheet11"/>
  <dimension ref="A1:G11"/>
  <sheetViews>
    <sheetView workbookViewId="0">
      <selection activeCell="H37" sqref="H37"/>
    </sheetView>
  </sheetViews>
  <sheetFormatPr defaultRowHeight="15" x14ac:dyDescent="0.25"/>
  <sheetData>
    <row r="1" spans="1:7" x14ac:dyDescent="0.2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</row>
    <row r="2" spans="1:7" x14ac:dyDescent="0.25">
      <c r="A2">
        <v>82</v>
      </c>
      <c r="B2" t="s">
        <v>428</v>
      </c>
      <c r="C2" t="s">
        <v>429</v>
      </c>
      <c r="D2">
        <v>532368</v>
      </c>
      <c r="E2">
        <v>-0.72</v>
      </c>
      <c r="F2">
        <v>16.59</v>
      </c>
      <c r="G2">
        <v>16856190</v>
      </c>
    </row>
    <row r="3" spans="1:7" x14ac:dyDescent="0.25">
      <c r="A3">
        <v>76</v>
      </c>
      <c r="B3" t="s">
        <v>430</v>
      </c>
      <c r="C3" t="s">
        <v>431</v>
      </c>
      <c r="D3">
        <v>532939</v>
      </c>
      <c r="E3">
        <v>-2.36</v>
      </c>
      <c r="F3">
        <v>48.91</v>
      </c>
      <c r="G3">
        <v>13414091</v>
      </c>
    </row>
    <row r="4" spans="1:7" x14ac:dyDescent="0.25">
      <c r="A4">
        <v>72</v>
      </c>
      <c r="B4" t="s">
        <v>370</v>
      </c>
      <c r="C4" t="s">
        <v>432</v>
      </c>
      <c r="D4">
        <v>532754</v>
      </c>
      <c r="E4">
        <v>0.66</v>
      </c>
      <c r="F4">
        <v>89.55</v>
      </c>
      <c r="G4">
        <v>7729819</v>
      </c>
    </row>
    <row r="5" spans="1:7" x14ac:dyDescent="0.25">
      <c r="A5">
        <v>64</v>
      </c>
      <c r="B5" t="s">
        <v>133</v>
      </c>
      <c r="C5" t="s">
        <v>433</v>
      </c>
      <c r="D5">
        <v>530965</v>
      </c>
      <c r="E5">
        <v>-1.05</v>
      </c>
      <c r="F5">
        <v>139.94999999999999</v>
      </c>
      <c r="G5">
        <v>5874783</v>
      </c>
    </row>
    <row r="6" spans="1:7" x14ac:dyDescent="0.25">
      <c r="A6">
        <v>16</v>
      </c>
      <c r="B6" t="s">
        <v>185</v>
      </c>
      <c r="C6" t="s">
        <v>434</v>
      </c>
      <c r="D6">
        <v>500325</v>
      </c>
      <c r="E6">
        <v>-1.0900000000000001</v>
      </c>
      <c r="F6">
        <v>1409.2</v>
      </c>
      <c r="G6">
        <v>5818868</v>
      </c>
    </row>
    <row r="7" spans="1:7" x14ac:dyDescent="0.25">
      <c r="A7">
        <v>77</v>
      </c>
      <c r="B7" t="s">
        <v>435</v>
      </c>
      <c r="C7" t="s">
        <v>436</v>
      </c>
      <c r="D7">
        <v>521064</v>
      </c>
      <c r="E7">
        <v>-0.49</v>
      </c>
      <c r="F7">
        <v>28.49</v>
      </c>
      <c r="G7">
        <v>3047631</v>
      </c>
    </row>
    <row r="8" spans="1:7" x14ac:dyDescent="0.25">
      <c r="A8">
        <v>15</v>
      </c>
      <c r="B8" t="s">
        <v>108</v>
      </c>
      <c r="C8" t="s">
        <v>437</v>
      </c>
      <c r="D8">
        <v>532281</v>
      </c>
      <c r="E8">
        <v>-1.82</v>
      </c>
      <c r="F8">
        <v>1466.3</v>
      </c>
      <c r="G8">
        <v>2802805</v>
      </c>
    </row>
    <row r="9" spans="1:7" x14ac:dyDescent="0.25">
      <c r="A9">
        <v>21</v>
      </c>
      <c r="B9" t="s">
        <v>438</v>
      </c>
      <c r="C9" t="s">
        <v>439</v>
      </c>
      <c r="D9">
        <v>543318</v>
      </c>
      <c r="E9">
        <v>0.42</v>
      </c>
      <c r="F9">
        <v>1153.8</v>
      </c>
      <c r="G9">
        <v>2392424</v>
      </c>
    </row>
    <row r="10" spans="1:7" x14ac:dyDescent="0.25">
      <c r="A10">
        <v>28</v>
      </c>
      <c r="B10" t="s">
        <v>126</v>
      </c>
      <c r="C10" t="s">
        <v>440</v>
      </c>
      <c r="D10">
        <v>500850</v>
      </c>
      <c r="E10">
        <v>-0.85</v>
      </c>
      <c r="F10">
        <v>788.85</v>
      </c>
      <c r="G10">
        <v>1780524</v>
      </c>
    </row>
    <row r="11" spans="1:7" x14ac:dyDescent="0.25">
      <c r="A11">
        <v>61</v>
      </c>
      <c r="B11" t="s">
        <v>441</v>
      </c>
      <c r="C11" t="s">
        <v>442</v>
      </c>
      <c r="D11">
        <v>500940</v>
      </c>
      <c r="E11">
        <v>1.74</v>
      </c>
      <c r="F11">
        <v>211.72</v>
      </c>
      <c r="G11">
        <v>1773366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44"/>
  <sheetViews>
    <sheetView zoomScale="85" zoomScaleNormal="85" workbookViewId="0">
      <pane ySplit="3" topLeftCell="A4" activePane="bottomLeft" state="frozen"/>
      <selection pane="bottomLeft" activeCell="AC17" sqref="AC17"/>
    </sheetView>
  </sheetViews>
  <sheetFormatPr defaultRowHeight="15" x14ac:dyDescent="0.25"/>
  <cols>
    <col min="1" max="1" width="35.5703125" bestFit="1" customWidth="1"/>
    <col min="2" max="2" width="16.28515625" hidden="1" customWidth="1"/>
    <col min="3" max="3" width="16.140625" hidden="1" customWidth="1"/>
    <col min="4" max="4" width="11.5703125" hidden="1" customWidth="1"/>
    <col min="5" max="5" width="9" hidden="1" customWidth="1"/>
    <col min="6" max="6" width="14.7109375" hidden="1" customWidth="1"/>
    <col min="7" max="7" width="17.28515625" hidden="1" customWidth="1"/>
    <col min="8" max="8" width="8" hidden="1" customWidth="1"/>
    <col min="9" max="9" width="10" hidden="1" customWidth="1"/>
    <col min="10" max="10" width="9" hidden="1" customWidth="1"/>
    <col min="11" max="11" width="9" bestFit="1" customWidth="1"/>
    <col min="12" max="12" width="9.140625" bestFit="1" customWidth="1"/>
    <col min="13" max="13" width="5.140625" bestFit="1" customWidth="1"/>
    <col min="14" max="14" width="7.85546875" bestFit="1" customWidth="1"/>
    <col min="15" max="15" width="14.28515625" bestFit="1" customWidth="1"/>
    <col min="16" max="16" width="10.28515625" bestFit="1" customWidth="1"/>
    <col min="17" max="17" width="7.28515625" bestFit="1" customWidth="1"/>
    <col min="18" max="18" width="14.5703125" bestFit="1" customWidth="1"/>
    <col min="19" max="19" width="11.28515625" bestFit="1" customWidth="1"/>
    <col min="20" max="20" width="12.28515625" bestFit="1" customWidth="1"/>
    <col min="21" max="21" width="16.140625" bestFit="1" customWidth="1"/>
    <col min="22" max="22" width="10.7109375" bestFit="1" customWidth="1"/>
    <col min="23" max="24" width="8.28515625" bestFit="1" customWidth="1"/>
    <col min="25" max="25" width="8.42578125" bestFit="1" customWidth="1"/>
    <col min="26" max="26" width="8.5703125" bestFit="1" customWidth="1"/>
    <col min="27" max="27" width="7.7109375" bestFit="1" customWidth="1"/>
    <col min="28" max="28" width="8.28515625" bestFit="1" customWidth="1"/>
    <col min="29" max="29" width="7" bestFit="1" customWidth="1"/>
    <col min="31" max="31" width="11.28515625" bestFit="1" customWidth="1"/>
    <col min="32" max="32" width="10.28515625" customWidth="1"/>
  </cols>
  <sheetData>
    <row r="1" spans="1:38" ht="23.25" customHeight="1" x14ac:dyDescent="0.25">
      <c r="A1" s="11" t="s">
        <v>237</v>
      </c>
      <c r="B1" s="11" t="s">
        <v>238</v>
      </c>
      <c r="C1" s="11" t="s">
        <v>232</v>
      </c>
      <c r="D1" s="12" t="s">
        <v>233</v>
      </c>
      <c r="E1" s="11"/>
      <c r="F1" s="11" t="s">
        <v>236</v>
      </c>
      <c r="G1" s="78" t="s">
        <v>243</v>
      </c>
      <c r="H1" s="79"/>
      <c r="I1" s="79"/>
      <c r="J1" s="80"/>
      <c r="K1" s="74" t="s">
        <v>234</v>
      </c>
      <c r="L1" s="75"/>
      <c r="M1" s="75"/>
      <c r="N1" s="75"/>
      <c r="O1" s="76"/>
      <c r="P1" s="13" t="s">
        <v>235</v>
      </c>
      <c r="S1" s="13" t="s">
        <v>294</v>
      </c>
      <c r="V1" s="13" t="s">
        <v>334</v>
      </c>
      <c r="AE1" s="58" t="s">
        <v>335</v>
      </c>
      <c r="AF1" s="58" t="s">
        <v>336</v>
      </c>
      <c r="AH1" s="57" t="s">
        <v>348</v>
      </c>
      <c r="AI1" s="57" t="s">
        <v>349</v>
      </c>
      <c r="AK1" s="57" t="s">
        <v>350</v>
      </c>
      <c r="AL1" s="57" t="s">
        <v>351</v>
      </c>
    </row>
    <row r="2" spans="1:38" ht="42" customHeight="1" x14ac:dyDescent="0.25">
      <c r="A2" s="14">
        <v>0</v>
      </c>
      <c r="B2" s="15">
        <v>0</v>
      </c>
      <c r="C2" s="15">
        <v>0</v>
      </c>
      <c r="D2" s="15">
        <v>0</v>
      </c>
      <c r="E2" s="15"/>
      <c r="F2" s="15">
        <v>-4850.25</v>
      </c>
      <c r="G2" s="81"/>
      <c r="H2" s="82"/>
      <c r="I2" s="82"/>
      <c r="J2" s="83"/>
      <c r="K2" s="77"/>
      <c r="L2" s="75"/>
      <c r="M2" s="75"/>
      <c r="N2" s="75"/>
      <c r="O2" s="76"/>
      <c r="P2" s="9" t="s">
        <v>333</v>
      </c>
      <c r="S2" s="9" t="s">
        <v>409</v>
      </c>
      <c r="U2" s="42">
        <v>0.38541666666666669</v>
      </c>
      <c r="V2" s="41">
        <f>U2+(1/1440)</f>
        <v>0.38611111111111113</v>
      </c>
      <c r="Y2" s="56">
        <v>20</v>
      </c>
      <c r="AE2" s="54">
        <v>50</v>
      </c>
      <c r="AF2" s="54">
        <v>100</v>
      </c>
      <c r="AH2" s="54">
        <v>20</v>
      </c>
      <c r="AI2" s="54">
        <v>20</v>
      </c>
      <c r="AK2" s="54">
        <v>0.26</v>
      </c>
      <c r="AL2" s="54">
        <f>-AK2</f>
        <v>-0.26</v>
      </c>
    </row>
    <row r="3" spans="1:38" ht="75" x14ac:dyDescent="0.25">
      <c r="A3" s="9" t="s">
        <v>5</v>
      </c>
      <c r="B3" s="10" t="s">
        <v>6</v>
      </c>
      <c r="C3" s="10" t="s">
        <v>7</v>
      </c>
      <c r="D3" s="10" t="s">
        <v>8</v>
      </c>
      <c r="E3" s="10" t="s">
        <v>9</v>
      </c>
      <c r="F3" s="10" t="s">
        <v>10</v>
      </c>
      <c r="G3" s="10" t="s">
        <v>11</v>
      </c>
      <c r="H3" s="10" t="s">
        <v>12</v>
      </c>
      <c r="I3" s="10" t="s">
        <v>13</v>
      </c>
      <c r="J3" s="10" t="s">
        <v>49</v>
      </c>
      <c r="K3" s="10" t="s">
        <v>14</v>
      </c>
      <c r="L3" s="10" t="s">
        <v>15</v>
      </c>
      <c r="M3" s="9" t="s">
        <v>16</v>
      </c>
      <c r="N3" s="9" t="s">
        <v>227</v>
      </c>
      <c r="O3" s="9" t="s">
        <v>17</v>
      </c>
      <c r="P3" s="9" t="s">
        <v>295</v>
      </c>
      <c r="Q3" s="10" t="s">
        <v>228</v>
      </c>
      <c r="R3" s="10" t="s">
        <v>296</v>
      </c>
      <c r="S3" s="10" t="s">
        <v>297</v>
      </c>
      <c r="T3" s="9" t="s">
        <v>18</v>
      </c>
      <c r="U3" s="10" t="s">
        <v>229</v>
      </c>
      <c r="V3" s="10" t="s">
        <v>298</v>
      </c>
      <c r="W3" s="10" t="s">
        <v>299</v>
      </c>
      <c r="X3" s="9" t="s">
        <v>19</v>
      </c>
      <c r="Y3" s="9" t="s">
        <v>20</v>
      </c>
      <c r="Z3" s="9" t="s">
        <v>300</v>
      </c>
      <c r="AA3" s="10" t="s">
        <v>230</v>
      </c>
      <c r="AB3" s="10" t="s">
        <v>21</v>
      </c>
      <c r="AC3" s="10" t="s">
        <v>231</v>
      </c>
      <c r="AD3" s="9"/>
      <c r="AE3" s="9"/>
      <c r="AF3" s="9"/>
      <c r="AG3" s="9"/>
      <c r="AH3" s="9"/>
      <c r="AI3" s="54"/>
      <c r="AK3" s="54"/>
      <c r="AL3" s="54"/>
    </row>
    <row r="4" spans="1:38" x14ac:dyDescent="0.25">
      <c r="A4" t="s">
        <v>24</v>
      </c>
      <c r="B4">
        <v>10.25</v>
      </c>
      <c r="C4">
        <v>10.25</v>
      </c>
      <c r="D4">
        <v>9.49</v>
      </c>
      <c r="E4">
        <v>10.25</v>
      </c>
      <c r="F4" t="s">
        <v>22</v>
      </c>
      <c r="G4" t="s">
        <v>22</v>
      </c>
      <c r="H4" t="s">
        <v>22</v>
      </c>
      <c r="I4" t="s">
        <v>22</v>
      </c>
      <c r="J4" t="s">
        <v>22</v>
      </c>
      <c r="K4">
        <v>9.89</v>
      </c>
      <c r="L4">
        <v>-3.51</v>
      </c>
      <c r="AE4" s="54"/>
      <c r="AF4" s="54"/>
      <c r="AH4" s="54"/>
      <c r="AI4" s="54"/>
      <c r="AK4" s="54"/>
      <c r="AL4" s="54"/>
    </row>
    <row r="6" spans="1:38" x14ac:dyDescent="0.25">
      <c r="A6" t="s">
        <v>23</v>
      </c>
      <c r="B6">
        <v>25441.05</v>
      </c>
      <c r="C6">
        <v>25448.95</v>
      </c>
      <c r="D6">
        <v>25329.75</v>
      </c>
      <c r="E6">
        <v>25330.25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>
        <v>25423.599999999999</v>
      </c>
      <c r="L6">
        <v>0.37</v>
      </c>
      <c r="AI6" s="54"/>
      <c r="AJ6" s="54"/>
    </row>
    <row r="7" spans="1:38" x14ac:dyDescent="0.25">
      <c r="A7" s="54" t="s">
        <v>25</v>
      </c>
      <c r="B7">
        <v>55797.1</v>
      </c>
      <c r="C7">
        <v>55835.25</v>
      </c>
      <c r="D7">
        <v>55490.9</v>
      </c>
      <c r="E7">
        <v>55493.3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>
        <v>55727.45</v>
      </c>
      <c r="L7">
        <v>0.42</v>
      </c>
      <c r="AI7" s="54"/>
      <c r="AJ7" s="54"/>
    </row>
    <row r="8" spans="1:38" x14ac:dyDescent="0.25">
      <c r="A8" s="54" t="s">
        <v>26</v>
      </c>
      <c r="B8">
        <v>26685.9</v>
      </c>
      <c r="C8">
        <v>26723.95</v>
      </c>
      <c r="D8">
        <v>26588.5</v>
      </c>
      <c r="E8">
        <v>26563.55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>
        <v>26698.65</v>
      </c>
      <c r="L8">
        <v>0.51</v>
      </c>
      <c r="AI8" s="54"/>
      <c r="AJ8" s="54"/>
    </row>
    <row r="9" spans="1:38" x14ac:dyDescent="0.25">
      <c r="A9" s="54" t="s">
        <v>338</v>
      </c>
      <c r="B9">
        <v>13197.5</v>
      </c>
      <c r="C9">
        <v>13248.15</v>
      </c>
      <c r="D9">
        <v>13141.15</v>
      </c>
      <c r="E9">
        <v>13151.9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>
        <v>13234.25</v>
      </c>
      <c r="L9">
        <v>0.63</v>
      </c>
      <c r="AI9" s="54"/>
      <c r="AJ9" s="54"/>
    </row>
    <row r="10" spans="1:38" x14ac:dyDescent="0.25">
      <c r="A10" s="54" t="s">
        <v>339</v>
      </c>
      <c r="B10">
        <v>892.4</v>
      </c>
      <c r="C10">
        <v>0</v>
      </c>
      <c r="D10">
        <v>0</v>
      </c>
      <c r="E10">
        <v>883.7</v>
      </c>
      <c r="F10">
        <v>0</v>
      </c>
      <c r="G10">
        <v>0</v>
      </c>
      <c r="H10">
        <v>0</v>
      </c>
      <c r="I10">
        <v>10</v>
      </c>
      <c r="J10" t="s">
        <v>22</v>
      </c>
      <c r="K10">
        <v>892.4</v>
      </c>
      <c r="L10">
        <v>0.98</v>
      </c>
      <c r="AI10" s="54"/>
      <c r="AJ10" s="54"/>
    </row>
    <row r="11" spans="1:38" s="54" customFormat="1" x14ac:dyDescent="0.25">
      <c r="A11" s="54" t="s">
        <v>425</v>
      </c>
      <c r="B11" s="54">
        <v>26554.720000000001</v>
      </c>
      <c r="C11" s="54">
        <v>26563.19</v>
      </c>
      <c r="D11" s="54">
        <v>26436.84</v>
      </c>
      <c r="E11" s="54">
        <v>26439</v>
      </c>
      <c r="F11" s="54" t="s">
        <v>22</v>
      </c>
      <c r="G11" s="54" t="s">
        <v>22</v>
      </c>
      <c r="H11" s="54" t="s">
        <v>22</v>
      </c>
      <c r="I11" s="54" t="s">
        <v>22</v>
      </c>
      <c r="J11" s="54" t="s">
        <v>22</v>
      </c>
      <c r="K11" s="54">
        <v>26530.77</v>
      </c>
      <c r="L11" s="54">
        <v>0.35</v>
      </c>
    </row>
    <row r="12" spans="1:38" s="54" customFormat="1" x14ac:dyDescent="0.25">
      <c r="A12" s="54" t="s">
        <v>426</v>
      </c>
      <c r="B12" s="54">
        <v>62688.52</v>
      </c>
      <c r="C12" s="54">
        <v>62772.97</v>
      </c>
      <c r="D12" s="54">
        <v>62423.9</v>
      </c>
      <c r="E12" s="54">
        <v>62427.39</v>
      </c>
      <c r="F12" s="54" t="s">
        <v>22</v>
      </c>
      <c r="G12" s="54" t="s">
        <v>22</v>
      </c>
      <c r="H12" s="54" t="s">
        <v>22</v>
      </c>
      <c r="I12" s="54" t="s">
        <v>22</v>
      </c>
      <c r="J12" s="54" t="s">
        <v>22</v>
      </c>
      <c r="K12" s="54">
        <v>62653.64</v>
      </c>
      <c r="L12" s="54">
        <v>0.36</v>
      </c>
    </row>
    <row r="13" spans="1:38" x14ac:dyDescent="0.25">
      <c r="A13" s="54"/>
    </row>
    <row r="14" spans="1:38" x14ac:dyDescent="0.25">
      <c r="A14" t="s">
        <v>27</v>
      </c>
      <c r="B14">
        <v>7.79</v>
      </c>
      <c r="C14">
        <v>7.93</v>
      </c>
      <c r="D14">
        <v>7.72</v>
      </c>
      <c r="E14">
        <v>7.77</v>
      </c>
      <c r="F14">
        <v>7.82</v>
      </c>
      <c r="G14">
        <v>7.84</v>
      </c>
      <c r="H14">
        <v>0</v>
      </c>
      <c r="I14">
        <v>596497872</v>
      </c>
      <c r="J14" t="s">
        <v>22</v>
      </c>
      <c r="K14">
        <v>7.84</v>
      </c>
      <c r="L14">
        <v>0.9</v>
      </c>
    </row>
    <row r="15" spans="1:38" x14ac:dyDescent="0.25">
      <c r="A15" s="54" t="s">
        <v>28</v>
      </c>
      <c r="B15">
        <v>1420.4</v>
      </c>
      <c r="C15">
        <v>1422</v>
      </c>
      <c r="D15">
        <v>1410.7</v>
      </c>
      <c r="E15">
        <v>1413.8</v>
      </c>
      <c r="F15">
        <v>1415.31</v>
      </c>
      <c r="G15">
        <v>0</v>
      </c>
      <c r="H15">
        <v>1415</v>
      </c>
      <c r="I15">
        <v>9332642</v>
      </c>
      <c r="J15" t="s">
        <v>22</v>
      </c>
      <c r="K15">
        <v>1415</v>
      </c>
      <c r="L15">
        <v>0.08</v>
      </c>
      <c r="AD15" s="54"/>
      <c r="AE15" s="54"/>
      <c r="AF15" s="54"/>
    </row>
    <row r="16" spans="1:38" x14ac:dyDescent="0.25">
      <c r="A16" s="54"/>
      <c r="AD16" s="54"/>
      <c r="AE16" s="54"/>
      <c r="AF16" s="54"/>
    </row>
    <row r="17" spans="1:32" x14ac:dyDescent="0.25">
      <c r="A17" s="54" t="s">
        <v>452</v>
      </c>
      <c r="B17" t="s">
        <v>22</v>
      </c>
      <c r="C17" t="s">
        <v>22</v>
      </c>
      <c r="D17" t="s">
        <v>22</v>
      </c>
      <c r="E17">
        <v>1585.6</v>
      </c>
      <c r="F17" t="s">
        <v>22</v>
      </c>
      <c r="G17">
        <v>132.19999999999999</v>
      </c>
      <c r="H17">
        <v>208.8</v>
      </c>
      <c r="I17" t="s">
        <v>22</v>
      </c>
      <c r="J17">
        <v>0</v>
      </c>
      <c r="K17">
        <v>282</v>
      </c>
      <c r="L17">
        <v>-82.21</v>
      </c>
      <c r="AD17" s="54"/>
      <c r="AE17" s="54"/>
      <c r="AF17" s="54"/>
    </row>
    <row r="18" spans="1:32" x14ac:dyDescent="0.25">
      <c r="A18" s="54" t="s">
        <v>453</v>
      </c>
      <c r="B18">
        <v>222</v>
      </c>
      <c r="C18">
        <v>264</v>
      </c>
      <c r="D18">
        <v>178.25</v>
      </c>
      <c r="E18">
        <v>271.75</v>
      </c>
      <c r="F18">
        <v>211.58</v>
      </c>
      <c r="G18">
        <v>185</v>
      </c>
      <c r="H18">
        <v>188.85</v>
      </c>
      <c r="I18">
        <v>48100</v>
      </c>
      <c r="J18">
        <v>9360</v>
      </c>
      <c r="K18">
        <v>189.7</v>
      </c>
      <c r="L18">
        <v>-30.19</v>
      </c>
      <c r="AD18" s="54"/>
      <c r="AE18" s="54"/>
      <c r="AF18" s="54"/>
    </row>
    <row r="19" spans="1:32" x14ac:dyDescent="0.25">
      <c r="A19" s="54"/>
      <c r="AD19" s="54"/>
      <c r="AE19" s="54"/>
      <c r="AF19" s="54"/>
    </row>
    <row r="20" spans="1:32" x14ac:dyDescent="0.25">
      <c r="A20" s="54" t="s">
        <v>446</v>
      </c>
      <c r="B20">
        <v>539</v>
      </c>
      <c r="C20">
        <v>555.45000000000005</v>
      </c>
      <c r="D20">
        <v>478</v>
      </c>
      <c r="E20">
        <v>470.3</v>
      </c>
      <c r="F20">
        <v>525.30999999999995</v>
      </c>
      <c r="G20">
        <v>534.04999999999995</v>
      </c>
      <c r="H20">
        <v>537.75</v>
      </c>
      <c r="I20">
        <v>1576875</v>
      </c>
      <c r="J20">
        <v>3553200</v>
      </c>
      <c r="K20">
        <v>532.6</v>
      </c>
      <c r="L20">
        <v>13.25</v>
      </c>
      <c r="AD20" s="54"/>
      <c r="AE20" s="54"/>
      <c r="AF20" s="54"/>
    </row>
    <row r="21" spans="1:32" x14ac:dyDescent="0.25">
      <c r="A21" s="54" t="s">
        <v>447</v>
      </c>
      <c r="B21">
        <v>37</v>
      </c>
      <c r="C21">
        <v>41.35</v>
      </c>
      <c r="D21">
        <v>27.3</v>
      </c>
      <c r="E21">
        <v>48.15</v>
      </c>
      <c r="F21">
        <v>32.89</v>
      </c>
      <c r="G21">
        <v>27.95</v>
      </c>
      <c r="H21">
        <v>28.25</v>
      </c>
      <c r="I21">
        <v>8869500</v>
      </c>
      <c r="J21">
        <v>5744325</v>
      </c>
      <c r="K21">
        <v>27.95</v>
      </c>
      <c r="L21">
        <v>-41.95</v>
      </c>
      <c r="AD21" s="54"/>
      <c r="AE21" s="54"/>
      <c r="AF21" s="54"/>
    </row>
    <row r="22" spans="1:32" x14ac:dyDescent="0.25">
      <c r="A22" s="54"/>
      <c r="AD22" s="54"/>
      <c r="AE22" s="54"/>
      <c r="AF22" s="54"/>
    </row>
    <row r="23" spans="1:32" x14ac:dyDescent="0.25">
      <c r="A23" s="54" t="s">
        <v>448</v>
      </c>
      <c r="B23">
        <v>1900</v>
      </c>
      <c r="C23">
        <v>2016.9</v>
      </c>
      <c r="D23">
        <v>1705.25</v>
      </c>
      <c r="E23">
        <v>1754.3</v>
      </c>
      <c r="F23">
        <v>1881.89</v>
      </c>
      <c r="G23">
        <v>1903.8</v>
      </c>
      <c r="H23">
        <v>1916</v>
      </c>
      <c r="I23">
        <v>157185</v>
      </c>
      <c r="J23">
        <v>577530</v>
      </c>
      <c r="K23">
        <v>1912.5</v>
      </c>
      <c r="L23">
        <v>9.02</v>
      </c>
      <c r="AD23" s="54"/>
      <c r="AE23" s="54"/>
      <c r="AF23" s="54"/>
    </row>
    <row r="24" spans="1:32" x14ac:dyDescent="0.25">
      <c r="A24" s="54" t="s">
        <v>449</v>
      </c>
      <c r="B24">
        <v>453</v>
      </c>
      <c r="C24">
        <v>574.20000000000005</v>
      </c>
      <c r="D24">
        <v>380</v>
      </c>
      <c r="E24">
        <v>570.70000000000005</v>
      </c>
      <c r="F24">
        <v>449.74</v>
      </c>
      <c r="G24">
        <v>414.05</v>
      </c>
      <c r="H24">
        <v>417.6</v>
      </c>
      <c r="I24">
        <v>4021045</v>
      </c>
      <c r="J24">
        <v>557165</v>
      </c>
      <c r="K24">
        <v>413.75</v>
      </c>
      <c r="L24">
        <v>-27.5</v>
      </c>
      <c r="AD24" s="54"/>
      <c r="AE24" s="54"/>
      <c r="AF24" s="54"/>
    </row>
    <row r="25" spans="1:32" x14ac:dyDescent="0.25">
      <c r="A25" s="54"/>
      <c r="AD25" s="54"/>
      <c r="AE25" s="54"/>
      <c r="AF25" s="54"/>
    </row>
    <row r="26" spans="1:32" ht="12.6" customHeight="1" x14ac:dyDescent="0.25">
      <c r="A26" s="54" t="s">
        <v>450</v>
      </c>
      <c r="B26">
        <v>279.95</v>
      </c>
      <c r="C26">
        <v>334.9</v>
      </c>
      <c r="D26">
        <v>247.8</v>
      </c>
      <c r="E26">
        <v>260.8</v>
      </c>
      <c r="F26">
        <v>285.57</v>
      </c>
      <c r="G26">
        <v>330.05</v>
      </c>
      <c r="H26">
        <v>333.45</v>
      </c>
      <c r="I26">
        <v>439040</v>
      </c>
      <c r="J26">
        <v>260400</v>
      </c>
      <c r="K26">
        <v>333.45</v>
      </c>
      <c r="L26">
        <v>27.86</v>
      </c>
      <c r="AD26" s="54"/>
      <c r="AE26" s="54"/>
      <c r="AF26" s="54"/>
    </row>
    <row r="27" spans="1:32" ht="16.899999999999999" customHeight="1" x14ac:dyDescent="0.25">
      <c r="A27" s="54" t="s">
        <v>451</v>
      </c>
      <c r="B27">
        <v>60.3</v>
      </c>
      <c r="C27">
        <v>64.7</v>
      </c>
      <c r="D27">
        <v>36.299999999999997</v>
      </c>
      <c r="E27">
        <v>66.75</v>
      </c>
      <c r="F27">
        <v>49.44</v>
      </c>
      <c r="G27">
        <v>37.049999999999997</v>
      </c>
      <c r="H27">
        <v>38.75</v>
      </c>
      <c r="I27">
        <v>2251900</v>
      </c>
      <c r="J27">
        <v>594020</v>
      </c>
      <c r="K27">
        <v>38.35</v>
      </c>
      <c r="L27">
        <v>-42.55</v>
      </c>
      <c r="AD27" s="54"/>
      <c r="AE27" s="54"/>
      <c r="AF27" s="54"/>
    </row>
    <row r="28" spans="1:32" x14ac:dyDescent="0.25">
      <c r="A28" s="54"/>
      <c r="AD28" s="54"/>
      <c r="AE28" s="54"/>
      <c r="AF28" s="54"/>
    </row>
    <row r="29" spans="1:32" x14ac:dyDescent="0.25">
      <c r="A29" s="54" t="s">
        <v>424</v>
      </c>
      <c r="B29">
        <v>373.05</v>
      </c>
      <c r="C29">
        <v>455.25</v>
      </c>
      <c r="D29">
        <v>360</v>
      </c>
      <c r="E29">
        <v>367.4</v>
      </c>
      <c r="F29">
        <v>408.59</v>
      </c>
      <c r="G29">
        <v>361.25</v>
      </c>
      <c r="H29">
        <v>442</v>
      </c>
      <c r="I29">
        <v>42835</v>
      </c>
      <c r="J29">
        <v>21905</v>
      </c>
      <c r="K29">
        <v>436.2</v>
      </c>
      <c r="L29">
        <v>18.73</v>
      </c>
      <c r="AD29" s="54"/>
      <c r="AE29" s="54"/>
      <c r="AF29" s="54"/>
    </row>
    <row r="30" spans="1:32" x14ac:dyDescent="0.25">
      <c r="A30" s="54"/>
      <c r="AD30" s="54"/>
      <c r="AE30" s="54"/>
      <c r="AF30" s="54"/>
    </row>
    <row r="31" spans="1:32" x14ac:dyDescent="0.25">
      <c r="A31" s="54" t="s">
        <v>444</v>
      </c>
      <c r="B31">
        <v>41.8</v>
      </c>
      <c r="C31">
        <v>41.8</v>
      </c>
      <c r="D31">
        <v>21.75</v>
      </c>
      <c r="E31">
        <v>50.3</v>
      </c>
      <c r="F31">
        <v>27.57</v>
      </c>
      <c r="G31">
        <v>0</v>
      </c>
      <c r="H31">
        <v>0</v>
      </c>
      <c r="I31">
        <v>875260</v>
      </c>
      <c r="J31">
        <v>287980</v>
      </c>
      <c r="K31">
        <v>22.4</v>
      </c>
      <c r="L31">
        <v>-55.47</v>
      </c>
      <c r="AD31" s="54"/>
      <c r="AE31" s="54"/>
      <c r="AF31" s="54"/>
    </row>
    <row r="32" spans="1:32" ht="13.9" customHeight="1" x14ac:dyDescent="0.25">
      <c r="A32" s="54" t="s">
        <v>445</v>
      </c>
      <c r="B32">
        <v>2188.35</v>
      </c>
      <c r="C32">
        <v>2267</v>
      </c>
      <c r="D32">
        <v>2007</v>
      </c>
      <c r="E32">
        <v>1958.25</v>
      </c>
      <c r="F32">
        <v>2142.8000000000002</v>
      </c>
      <c r="G32">
        <v>0</v>
      </c>
      <c r="H32">
        <v>0</v>
      </c>
      <c r="I32">
        <v>11280</v>
      </c>
      <c r="J32">
        <v>25580</v>
      </c>
      <c r="K32">
        <v>2220</v>
      </c>
      <c r="L32">
        <v>13.37</v>
      </c>
      <c r="AD32" s="54"/>
      <c r="AE32" s="54"/>
      <c r="AF32" s="54"/>
    </row>
    <row r="33" spans="1:32" x14ac:dyDescent="0.25">
      <c r="AD33" s="54"/>
      <c r="AE33" s="54"/>
      <c r="AF33" s="54"/>
    </row>
    <row r="34" spans="1:32" x14ac:dyDescent="0.25">
      <c r="A34" s="54"/>
      <c r="AD34" s="54"/>
      <c r="AE34" s="54"/>
      <c r="AF34" s="54"/>
    </row>
    <row r="35" spans="1:32" x14ac:dyDescent="0.25">
      <c r="A35" s="54"/>
      <c r="AD35" s="54"/>
      <c r="AE35" s="54"/>
      <c r="AF35" s="54"/>
    </row>
    <row r="36" spans="1:32" x14ac:dyDescent="0.25">
      <c r="A36" s="53"/>
      <c r="AD36" s="54"/>
      <c r="AE36" s="54"/>
      <c r="AF36" s="54"/>
    </row>
    <row r="37" spans="1:32" x14ac:dyDescent="0.25">
      <c r="A37" s="54"/>
      <c r="AD37" s="54"/>
      <c r="AE37" s="54"/>
      <c r="AF37" s="54"/>
    </row>
    <row r="38" spans="1:32" x14ac:dyDescent="0.25">
      <c r="A38" s="54" t="s">
        <v>427</v>
      </c>
      <c r="B38">
        <v>89.99</v>
      </c>
      <c r="C38">
        <v>0</v>
      </c>
      <c r="D38">
        <v>0</v>
      </c>
      <c r="E38">
        <v>89.8</v>
      </c>
      <c r="F38">
        <v>0</v>
      </c>
      <c r="G38">
        <v>0</v>
      </c>
      <c r="H38">
        <v>0</v>
      </c>
      <c r="I38">
        <v>3394</v>
      </c>
      <c r="J38" t="s">
        <v>22</v>
      </c>
      <c r="K38">
        <v>89.99</v>
      </c>
      <c r="L38">
        <v>0.21</v>
      </c>
      <c r="AD38" s="54"/>
      <c r="AE38" s="54"/>
      <c r="AF38" s="54"/>
    </row>
    <row r="39" spans="1:32" x14ac:dyDescent="0.25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</row>
    <row r="40" spans="1:32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</row>
    <row r="41" spans="1:32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</row>
    <row r="42" spans="1:32" x14ac:dyDescent="0.25">
      <c r="A42" s="60"/>
      <c r="B42" s="59"/>
      <c r="C42" s="59"/>
      <c r="D42" s="59"/>
      <c r="E42" s="59"/>
      <c r="F42" s="59"/>
      <c r="G42" s="59"/>
      <c r="H42" s="59"/>
      <c r="I42" s="59"/>
      <c r="J42" s="59"/>
      <c r="K42" s="61"/>
      <c r="L42" s="59"/>
      <c r="M42" s="59"/>
      <c r="N42" s="59"/>
      <c r="O42" s="59"/>
      <c r="P42" s="59"/>
      <c r="Q42" s="61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</row>
    <row r="43" spans="1:32" x14ac:dyDescent="0.25">
      <c r="A43" s="55"/>
      <c r="AC43" s="54"/>
    </row>
    <row r="44" spans="1:32" x14ac:dyDescent="0.25">
      <c r="A44" s="55"/>
    </row>
  </sheetData>
  <mergeCells count="2">
    <mergeCell ref="K1:O2"/>
    <mergeCell ref="G1:J2"/>
  </mergeCells>
  <conditionalFormatting sqref="AC4:AC57">
    <cfRule type="cellIs" dxfId="7" priority="33" operator="lessThan">
      <formula>0</formula>
    </cfRule>
    <cfRule type="cellIs" dxfId="6" priority="34" operator="greaterThan">
      <formula>0</formula>
    </cfRule>
  </conditionalFormatting>
  <conditionalFormatting sqref="AE4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AG3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AE39:AE44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7">
    <dataValidation type="list" allowBlank="1" showInputMessage="1" showErrorMessage="1" sqref="P2" xr:uid="{00000000-0002-0000-0200-000000000000}">
      <formula1>"NRML,MIS"</formula1>
    </dataValidation>
    <dataValidation type="list" allowBlank="1" showInputMessage="1" showErrorMessage="1" sqref="Q6" xr:uid="{00000000-0002-0000-0200-000002000000}">
      <formula1>"TRUE,FALSE"</formula1>
    </dataValidation>
    <dataValidation type="list" allowBlank="1" showInputMessage="1" showErrorMessage="1" sqref="S2" xr:uid="{00000000-0002-0000-0200-000003000000}">
      <formula1>"Paper,Real"</formula1>
    </dataValidation>
    <dataValidation type="list" allowBlank="1" showInputMessage="1" showErrorMessage="1" sqref="T51:T55 T4:T29 T43:T48" xr:uid="{00000000-0002-0000-0200-000004000000}">
      <formula1>"False, True_Market, True_Limit_LTP"</formula1>
    </dataValidation>
    <dataValidation type="list" allowBlank="1" showInputMessage="1" showErrorMessage="1" sqref="N4:N56" xr:uid="{00000000-0002-0000-0200-000001000000}">
      <formula1>"BUY,SELL"</formula1>
    </dataValidation>
    <dataValidation type="list" allowBlank="1" showInputMessage="1" showErrorMessage="1" sqref="O4:O56 T30:T42" xr:uid="{00000000-0002-0000-0200-000005000000}">
      <formula1>"False, True_Market, True_Limit_LTP, Limit_Below, Limit_Above"</formula1>
    </dataValidation>
    <dataValidation type="list" allowBlank="1" showInputMessage="1" showErrorMessage="1" sqref="Z56 Z51:Z54 Z4:Z49" xr:uid="{00000000-0002-0000-0200-000006000000}">
      <formula1>"False, True"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4"/>
  <sheetViews>
    <sheetView workbookViewId="0">
      <pane ySplit="2" topLeftCell="A3" activePane="bottomLeft" state="frozen"/>
      <selection pane="bottomLeft" activeCell="H34" sqref="H34"/>
    </sheetView>
  </sheetViews>
  <sheetFormatPr defaultRowHeight="15" x14ac:dyDescent="0.25"/>
  <cols>
    <col min="1" max="1" width="14.140625" bestFit="1" customWidth="1"/>
    <col min="2" max="2" width="8.7109375" bestFit="1" customWidth="1"/>
    <col min="3" max="3" width="23.7109375" bestFit="1" customWidth="1"/>
    <col min="4" max="4" width="11.28515625" bestFit="1" customWidth="1"/>
    <col min="5" max="5" width="18" bestFit="1" customWidth="1"/>
    <col min="6" max="6" width="8.28515625" bestFit="1" customWidth="1"/>
    <col min="7" max="7" width="8.5703125" bestFit="1" customWidth="1"/>
    <col min="8" max="8" width="14.5703125" bestFit="1" customWidth="1"/>
    <col min="9" max="9" width="11.5703125" bestFit="1" customWidth="1"/>
    <col min="10" max="10" width="11.28515625" bestFit="1" customWidth="1"/>
    <col min="11" max="11" width="11.7109375" bestFit="1" customWidth="1"/>
    <col min="12" max="12" width="12.140625" bestFit="1" customWidth="1"/>
    <col min="13" max="13" width="16.7109375" bestFit="1" customWidth="1"/>
    <col min="14" max="14" width="16.28515625" bestFit="1" customWidth="1"/>
  </cols>
  <sheetData>
    <row r="1" spans="1:20" ht="37.5" x14ac:dyDescent="0.25">
      <c r="A1" s="16" t="s">
        <v>239</v>
      </c>
      <c r="B1" s="17"/>
      <c r="C1" s="17"/>
      <c r="D1" s="17" t="s">
        <v>240</v>
      </c>
      <c r="E1" s="18" t="s">
        <v>241</v>
      </c>
      <c r="F1" s="84" t="s">
        <v>242</v>
      </c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</row>
    <row r="2" spans="1:20" ht="19.5" x14ac:dyDescent="0.25">
      <c r="A2" s="19">
        <v>-4850.25</v>
      </c>
      <c r="B2" s="20"/>
      <c r="C2" s="20"/>
      <c r="D2" s="20" t="b">
        <v>0</v>
      </c>
      <c r="E2" s="20">
        <v>0</v>
      </c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</row>
    <row r="3" spans="1:20" x14ac:dyDescent="0.25">
      <c r="A3" t="s">
        <v>312</v>
      </c>
    </row>
    <row r="4" spans="1:20" x14ac:dyDescent="0.25">
      <c r="A4" t="b">
        <v>0</v>
      </c>
    </row>
  </sheetData>
  <mergeCells count="1">
    <mergeCell ref="F1:T2"/>
  </mergeCells>
  <dataValidations count="4">
    <dataValidation type="list" allowBlank="1" showInputMessage="1" showErrorMessage="1" sqref="C2" xr:uid="{00000000-0002-0000-0400-000000000000}">
      <formula1>"NSE,NFO,CDS,MCX,ALL"</formula1>
    </dataValidation>
    <dataValidation type="list" allowBlank="1" showInputMessage="1" showErrorMessage="1" sqref="B2 D2" xr:uid="{00000000-0002-0000-0400-000001000000}">
      <formula1>"False,Execute"</formula1>
    </dataValidation>
    <dataValidation type="list" allowBlank="1" showInputMessage="1" showErrorMessage="1" sqref="E2" xr:uid="{00000000-0002-0000-0400-000002000000}">
      <formula1>"0,1"</formula1>
    </dataValidation>
    <dataValidation type="list" allowBlank="1" showInputMessage="1" showErrorMessage="1" sqref="A4:A22" xr:uid="{00000000-0002-0000-0400-000003000000}">
      <formula1>"False,Square_Off"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pane ySplit="1" topLeftCell="A2" activePane="bottomLeft" state="frozen"/>
      <selection pane="bottomLeft" activeCell="N29" sqref="N29"/>
    </sheetView>
  </sheetViews>
  <sheetFormatPr defaultRowHeight="15" x14ac:dyDescent="0.25"/>
  <cols>
    <col min="1" max="1" width="13" bestFit="1" customWidth="1"/>
    <col min="2" max="2" width="19.85546875" customWidth="1"/>
    <col min="3" max="3" width="12" bestFit="1" customWidth="1"/>
    <col min="4" max="4" width="11.28515625" bestFit="1" customWidth="1"/>
    <col min="5" max="5" width="24.42578125" bestFit="1" customWidth="1"/>
    <col min="6" max="6" width="14.42578125" bestFit="1" customWidth="1"/>
    <col min="7" max="7" width="24.42578125" bestFit="1" customWidth="1"/>
    <col min="8" max="8" width="10.7109375" bestFit="1" customWidth="1"/>
    <col min="9" max="9" width="7.42578125" bestFit="1" customWidth="1"/>
    <col min="10" max="10" width="12.7109375" bestFit="1" customWidth="1"/>
    <col min="11" max="11" width="8.42578125" bestFit="1" customWidth="1"/>
    <col min="12" max="12" width="9.7109375" bestFit="1" customWidth="1"/>
    <col min="13" max="13" width="12" bestFit="1" customWidth="1"/>
    <col min="14" max="14" width="16" bestFit="1" customWidth="1"/>
    <col min="15" max="15" width="13.7109375" bestFit="1" customWidth="1"/>
    <col min="16" max="16" width="20.28515625" customWidth="1"/>
  </cols>
  <sheetData>
    <row r="1" spans="1:1" x14ac:dyDescent="0.25">
      <c r="A1" t="s">
        <v>312</v>
      </c>
    </row>
  </sheetData>
  <autoFilter ref="A1:N18" xr:uid="{00000000-0001-0000-0300-000000000000}"/>
  <dataValidations count="1">
    <dataValidation type="list" allowBlank="1" showInputMessage="1" showErrorMessage="1" sqref="A2:A167" xr:uid="{00000000-0002-0000-0300-000000000000}">
      <formula1>"False,CANCEL"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0.28515625" bestFit="1" customWidth="1"/>
    <col min="3" max="3" width="14.7109375" bestFit="1" customWidth="1"/>
    <col min="4" max="4" width="21.7109375" bestFit="1" customWidth="1"/>
    <col min="5" max="5" width="12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3"/>
  <sheetViews>
    <sheetView zoomScale="85" zoomScaleNormal="85" workbookViewId="0">
      <selection activeCell="E14" sqref="E14"/>
    </sheetView>
  </sheetViews>
  <sheetFormatPr defaultColWidth="27.7109375" defaultRowHeight="15" x14ac:dyDescent="0.25"/>
  <cols>
    <col min="1" max="1" width="13.5703125" bestFit="1" customWidth="1"/>
    <col min="2" max="2" width="10.28515625" bestFit="1" customWidth="1"/>
    <col min="3" max="3" width="6.7109375" bestFit="1" customWidth="1"/>
    <col min="4" max="4" width="15.140625" bestFit="1" customWidth="1"/>
    <col min="5" max="5" width="13.28515625" customWidth="1"/>
    <col min="6" max="6" width="17.85546875" customWidth="1"/>
    <col min="7" max="7" width="12.140625" customWidth="1"/>
    <col min="8" max="8" width="26.5703125" bestFit="1" customWidth="1"/>
    <col min="9" max="10" width="10.28515625" bestFit="1" customWidth="1"/>
  </cols>
  <sheetData>
    <row r="1" spans="1:10" x14ac:dyDescent="0.25">
      <c r="A1" t="s">
        <v>5</v>
      </c>
      <c r="B1" t="s">
        <v>269</v>
      </c>
      <c r="C1" t="s">
        <v>29</v>
      </c>
      <c r="D1" s="86" t="s">
        <v>245</v>
      </c>
      <c r="E1" s="86"/>
      <c r="H1" s="87" t="s">
        <v>249</v>
      </c>
      <c r="I1" s="87"/>
      <c r="J1" s="87"/>
    </row>
    <row r="2" spans="1:10" x14ac:dyDescent="0.25">
      <c r="A2" t="s">
        <v>46</v>
      </c>
      <c r="B2" s="21">
        <v>45923</v>
      </c>
      <c r="C2">
        <v>75</v>
      </c>
      <c r="D2" t="s">
        <v>270</v>
      </c>
      <c r="E2" s="44" t="s">
        <v>271</v>
      </c>
      <c r="H2" s="33"/>
      <c r="I2" s="34" t="s">
        <v>276</v>
      </c>
      <c r="J2" s="35" t="s">
        <v>277</v>
      </c>
    </row>
    <row r="3" spans="1:10" x14ac:dyDescent="0.25">
      <c r="A3" t="s">
        <v>418</v>
      </c>
      <c r="B3" s="21">
        <v>45930</v>
      </c>
      <c r="C3">
        <v>75</v>
      </c>
      <c r="D3" t="s">
        <v>246</v>
      </c>
      <c r="E3" s="31" t="s">
        <v>46</v>
      </c>
      <c r="H3" s="36" t="s">
        <v>278</v>
      </c>
      <c r="I3" s="85">
        <v>25510</v>
      </c>
      <c r="J3" s="85"/>
    </row>
    <row r="4" spans="1:10" x14ac:dyDescent="0.25">
      <c r="A4" t="s">
        <v>31</v>
      </c>
      <c r="B4" s="21">
        <v>45937</v>
      </c>
      <c r="C4">
        <v>75</v>
      </c>
      <c r="D4" t="s">
        <v>272</v>
      </c>
      <c r="E4" s="32">
        <f>B2</f>
        <v>45923</v>
      </c>
      <c r="H4" s="36" t="s">
        <v>279</v>
      </c>
      <c r="I4" s="85">
        <v>25400</v>
      </c>
      <c r="J4" s="85"/>
    </row>
    <row r="5" spans="1:10" x14ac:dyDescent="0.25">
      <c r="A5" t="s">
        <v>34</v>
      </c>
      <c r="B5" s="21">
        <v>45944</v>
      </c>
      <c r="C5">
        <v>75</v>
      </c>
      <c r="D5" t="s">
        <v>247</v>
      </c>
      <c r="E5" s="31">
        <v>2</v>
      </c>
      <c r="H5" s="36" t="s">
        <v>280</v>
      </c>
      <c r="I5" s="36">
        <v>120</v>
      </c>
      <c r="J5" s="36">
        <v>51.45</v>
      </c>
    </row>
    <row r="6" spans="1:10" x14ac:dyDescent="0.25">
      <c r="A6" t="s">
        <v>357</v>
      </c>
      <c r="B6" s="21">
        <v>45950</v>
      </c>
      <c r="C6">
        <v>75</v>
      </c>
      <c r="D6" t="s">
        <v>248</v>
      </c>
      <c r="E6" s="31">
        <v>30</v>
      </c>
      <c r="H6" s="36" t="s">
        <v>281</v>
      </c>
      <c r="I6" s="85">
        <v>25400</v>
      </c>
      <c r="J6" s="85"/>
    </row>
    <row r="7" spans="1:10" x14ac:dyDescent="0.25">
      <c r="A7" t="s">
        <v>37</v>
      </c>
      <c r="B7" s="21">
        <v>45958</v>
      </c>
      <c r="C7">
        <v>75</v>
      </c>
      <c r="D7" t="s">
        <v>273</v>
      </c>
      <c r="E7" s="31" t="s">
        <v>337</v>
      </c>
      <c r="H7" s="36" t="s">
        <v>282</v>
      </c>
      <c r="I7" s="36">
        <v>120</v>
      </c>
      <c r="J7" s="36">
        <v>51.45</v>
      </c>
    </row>
    <row r="8" spans="1:10" x14ac:dyDescent="0.25">
      <c r="A8" t="s">
        <v>358</v>
      </c>
      <c r="B8" s="21">
        <v>45986</v>
      </c>
      <c r="C8">
        <v>75</v>
      </c>
      <c r="D8" t="s">
        <v>274</v>
      </c>
      <c r="E8" s="31" t="s">
        <v>275</v>
      </c>
      <c r="H8" s="36" t="s">
        <v>283</v>
      </c>
      <c r="I8" s="43">
        <v>1771015</v>
      </c>
      <c r="J8" s="43">
        <v>1936171</v>
      </c>
    </row>
    <row r="9" spans="1:10" x14ac:dyDescent="0.25">
      <c r="A9" t="s">
        <v>38</v>
      </c>
      <c r="B9" s="21">
        <v>46021</v>
      </c>
      <c r="C9">
        <v>75</v>
      </c>
      <c r="H9" s="36" t="s">
        <v>284</v>
      </c>
      <c r="I9" s="36">
        <v>543354</v>
      </c>
      <c r="J9" s="36">
        <v>503698</v>
      </c>
    </row>
    <row r="10" spans="1:10" x14ac:dyDescent="0.25">
      <c r="A10" t="s">
        <v>39</v>
      </c>
      <c r="B10" s="21">
        <v>46112</v>
      </c>
      <c r="C10">
        <v>75</v>
      </c>
      <c r="H10" s="36" t="s">
        <v>285</v>
      </c>
      <c r="I10" s="43">
        <v>153432</v>
      </c>
      <c r="J10" s="43">
        <v>137463</v>
      </c>
    </row>
    <row r="11" spans="1:10" x14ac:dyDescent="0.25">
      <c r="A11" t="s">
        <v>419</v>
      </c>
      <c r="B11" s="21">
        <v>46203</v>
      </c>
      <c r="C11">
        <v>75</v>
      </c>
      <c r="H11" s="36" t="s">
        <v>286</v>
      </c>
      <c r="I11" s="36">
        <v>25500</v>
      </c>
      <c r="J11" s="36">
        <v>25000</v>
      </c>
    </row>
    <row r="12" spans="1:10" x14ac:dyDescent="0.25">
      <c r="A12" t="s">
        <v>40</v>
      </c>
      <c r="B12" s="21">
        <v>46385</v>
      </c>
      <c r="C12">
        <v>75</v>
      </c>
      <c r="H12" s="36" t="s">
        <v>287</v>
      </c>
      <c r="I12" s="36">
        <v>64.2</v>
      </c>
      <c r="J12" s="36">
        <v>6.6</v>
      </c>
    </row>
    <row r="13" spans="1:10" x14ac:dyDescent="0.25">
      <c r="A13" t="s">
        <v>359</v>
      </c>
      <c r="B13" s="21">
        <v>46567</v>
      </c>
      <c r="C13">
        <v>75</v>
      </c>
      <c r="H13" s="36" t="s">
        <v>288</v>
      </c>
      <c r="I13" s="36">
        <v>64233</v>
      </c>
      <c r="J13" s="36">
        <v>85223</v>
      </c>
    </row>
    <row r="14" spans="1:10" x14ac:dyDescent="0.25">
      <c r="A14" t="s">
        <v>360</v>
      </c>
      <c r="B14" s="21">
        <v>46749</v>
      </c>
      <c r="C14">
        <v>75</v>
      </c>
      <c r="H14" s="36" t="s">
        <v>289</v>
      </c>
      <c r="I14" s="36">
        <v>25800</v>
      </c>
      <c r="J14" s="36">
        <v>25400</v>
      </c>
    </row>
    <row r="15" spans="1:10" x14ac:dyDescent="0.25">
      <c r="A15" t="s">
        <v>41</v>
      </c>
      <c r="B15" s="21">
        <v>46931</v>
      </c>
      <c r="C15">
        <v>75</v>
      </c>
      <c r="H15" s="36" t="s">
        <v>290</v>
      </c>
      <c r="I15" s="36">
        <v>5.75</v>
      </c>
      <c r="J15" s="36">
        <v>51.45</v>
      </c>
    </row>
    <row r="16" spans="1:10" x14ac:dyDescent="0.25">
      <c r="A16" t="s">
        <v>43</v>
      </c>
      <c r="B16" s="21">
        <v>47113</v>
      </c>
      <c r="C16">
        <v>75</v>
      </c>
      <c r="H16" s="36" t="s">
        <v>291</v>
      </c>
      <c r="I16" s="36">
        <v>20935</v>
      </c>
      <c r="J16" s="36">
        <v>10728</v>
      </c>
    </row>
    <row r="17" spans="1:10" x14ac:dyDescent="0.25">
      <c r="A17" t="s">
        <v>44</v>
      </c>
      <c r="B17" s="21">
        <v>47295</v>
      </c>
      <c r="C17">
        <v>75</v>
      </c>
      <c r="H17" s="36" t="s">
        <v>292</v>
      </c>
      <c r="I17" s="36">
        <v>25300</v>
      </c>
      <c r="J17" s="36">
        <v>24200</v>
      </c>
    </row>
    <row r="18" spans="1:10" x14ac:dyDescent="0.25">
      <c r="A18" t="s">
        <v>45</v>
      </c>
      <c r="B18" s="21">
        <v>47476</v>
      </c>
      <c r="C18">
        <v>75</v>
      </c>
      <c r="H18" s="36" t="s">
        <v>293</v>
      </c>
      <c r="I18" s="36">
        <v>194.35</v>
      </c>
      <c r="J18" s="36">
        <v>2.2999999999999998</v>
      </c>
    </row>
    <row r="19" spans="1:10" x14ac:dyDescent="0.25">
      <c r="A19" t="s">
        <v>51</v>
      </c>
      <c r="B19" s="21">
        <v>47659</v>
      </c>
      <c r="C19">
        <v>75</v>
      </c>
    </row>
    <row r="20" spans="1:10" x14ac:dyDescent="0.25">
      <c r="A20" t="s">
        <v>52</v>
      </c>
      <c r="B20" s="21"/>
    </row>
    <row r="21" spans="1:10" x14ac:dyDescent="0.25">
      <c r="A21" t="s">
        <v>53</v>
      </c>
      <c r="B21" s="21"/>
    </row>
    <row r="22" spans="1:10" x14ac:dyDescent="0.25">
      <c r="A22" t="s">
        <v>54</v>
      </c>
    </row>
    <row r="23" spans="1:10" x14ac:dyDescent="0.25">
      <c r="A23" t="s">
        <v>55</v>
      </c>
    </row>
    <row r="24" spans="1:10" x14ac:dyDescent="0.25">
      <c r="A24" t="s">
        <v>56</v>
      </c>
    </row>
    <row r="25" spans="1:10" x14ac:dyDescent="0.25">
      <c r="A25" t="s">
        <v>59</v>
      </c>
    </row>
    <row r="26" spans="1:10" x14ac:dyDescent="0.25">
      <c r="A26" t="s">
        <v>60</v>
      </c>
    </row>
    <row r="27" spans="1:10" x14ac:dyDescent="0.25">
      <c r="A27" t="s">
        <v>361</v>
      </c>
    </row>
    <row r="28" spans="1:10" x14ac:dyDescent="0.25">
      <c r="A28" t="s">
        <v>47</v>
      </c>
    </row>
    <row r="29" spans="1:10" x14ac:dyDescent="0.25">
      <c r="A29" t="s">
        <v>410</v>
      </c>
    </row>
    <row r="30" spans="1:10" x14ac:dyDescent="0.25">
      <c r="A30" t="s">
        <v>62</v>
      </c>
    </row>
    <row r="31" spans="1:10" x14ac:dyDescent="0.25">
      <c r="A31" t="s">
        <v>64</v>
      </c>
    </row>
    <row r="32" spans="1:10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411</v>
      </c>
    </row>
    <row r="36" spans="1:1" x14ac:dyDescent="0.25">
      <c r="A36" t="s">
        <v>68</v>
      </c>
    </row>
    <row r="37" spans="1:1" x14ac:dyDescent="0.25">
      <c r="A37" t="s">
        <v>69</v>
      </c>
    </row>
    <row r="38" spans="1:1" x14ac:dyDescent="0.25">
      <c r="A38" t="s">
        <v>70</v>
      </c>
    </row>
    <row r="39" spans="1:1" x14ac:dyDescent="0.25">
      <c r="A39" t="s">
        <v>362</v>
      </c>
    </row>
    <row r="40" spans="1:1" x14ac:dyDescent="0.25">
      <c r="A40" t="s">
        <v>363</v>
      </c>
    </row>
    <row r="41" spans="1:1" x14ac:dyDescent="0.25">
      <c r="A41" t="s">
        <v>72</v>
      </c>
    </row>
    <row r="42" spans="1:1" x14ac:dyDescent="0.25">
      <c r="A42" t="s">
        <v>364</v>
      </c>
    </row>
    <row r="43" spans="1:1" x14ac:dyDescent="0.25">
      <c r="A43" t="s">
        <v>365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82</v>
      </c>
    </row>
    <row r="51" spans="1:1" x14ac:dyDescent="0.25">
      <c r="A51" t="s">
        <v>84</v>
      </c>
    </row>
    <row r="52" spans="1:1" x14ac:dyDescent="0.25">
      <c r="A52" t="s">
        <v>366</v>
      </c>
    </row>
    <row r="53" spans="1:1" x14ac:dyDescent="0.25">
      <c r="A53" t="s">
        <v>85</v>
      </c>
    </row>
    <row r="54" spans="1:1" x14ac:dyDescent="0.25">
      <c r="A54" t="s">
        <v>86</v>
      </c>
    </row>
    <row r="55" spans="1:1" x14ac:dyDescent="0.25">
      <c r="A55" t="s">
        <v>367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368</v>
      </c>
    </row>
    <row r="60" spans="1:1" x14ac:dyDescent="0.25">
      <c r="A60" t="s">
        <v>92</v>
      </c>
    </row>
    <row r="61" spans="1:1" x14ac:dyDescent="0.25">
      <c r="A61" t="s">
        <v>93</v>
      </c>
    </row>
    <row r="62" spans="1:1" x14ac:dyDescent="0.25">
      <c r="A62" t="s">
        <v>369</v>
      </c>
    </row>
    <row r="63" spans="1:1" x14ac:dyDescent="0.25">
      <c r="A63" t="s">
        <v>95</v>
      </c>
    </row>
    <row r="64" spans="1:1" x14ac:dyDescent="0.25">
      <c r="A64" t="s">
        <v>96</v>
      </c>
    </row>
    <row r="65" spans="1:1" x14ac:dyDescent="0.25">
      <c r="A65" t="s">
        <v>48</v>
      </c>
    </row>
    <row r="66" spans="1:1" x14ac:dyDescent="0.25">
      <c r="A66" t="s">
        <v>347</v>
      </c>
    </row>
    <row r="67" spans="1:1" x14ac:dyDescent="0.25">
      <c r="A67" t="s">
        <v>97</v>
      </c>
    </row>
    <row r="68" spans="1:1" x14ac:dyDescent="0.25">
      <c r="A68" t="s">
        <v>98</v>
      </c>
    </row>
    <row r="69" spans="1:1" x14ac:dyDescent="0.25">
      <c r="A69" t="s">
        <v>370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104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371</v>
      </c>
    </row>
    <row r="81" spans="1:1" x14ac:dyDescent="0.25">
      <c r="A81" t="s">
        <v>113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372</v>
      </c>
    </row>
    <row r="85" spans="1:1" x14ac:dyDescent="0.25">
      <c r="A85" t="s">
        <v>373</v>
      </c>
    </row>
    <row r="86" spans="1:1" x14ac:dyDescent="0.25">
      <c r="A86" t="s">
        <v>118</v>
      </c>
    </row>
    <row r="87" spans="1:1" x14ac:dyDescent="0.25">
      <c r="A87" t="s">
        <v>119</v>
      </c>
    </row>
    <row r="88" spans="1:1" x14ac:dyDescent="0.25">
      <c r="A88" t="s">
        <v>120</v>
      </c>
    </row>
    <row r="89" spans="1:1" x14ac:dyDescent="0.25">
      <c r="A89" t="s">
        <v>121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374</v>
      </c>
    </row>
    <row r="94" spans="1:1" x14ac:dyDescent="0.25">
      <c r="A94" t="s">
        <v>126</v>
      </c>
    </row>
    <row r="95" spans="1:1" x14ac:dyDescent="0.25">
      <c r="A95" t="s">
        <v>375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376</v>
      </c>
    </row>
    <row r="101" spans="1:1" x14ac:dyDescent="0.25">
      <c r="A101" t="s">
        <v>133</v>
      </c>
    </row>
    <row r="102" spans="1:1" x14ac:dyDescent="0.25">
      <c r="A102" t="s">
        <v>135</v>
      </c>
    </row>
    <row r="103" spans="1:1" x14ac:dyDescent="0.25">
      <c r="A103" t="s">
        <v>377</v>
      </c>
    </row>
    <row r="104" spans="1:1" x14ac:dyDescent="0.25">
      <c r="A104" t="s">
        <v>378</v>
      </c>
    </row>
    <row r="105" spans="1:1" x14ac:dyDescent="0.25">
      <c r="A105" t="s">
        <v>32</v>
      </c>
    </row>
    <row r="106" spans="1:1" x14ac:dyDescent="0.25">
      <c r="A106" t="s">
        <v>136</v>
      </c>
    </row>
    <row r="107" spans="1:1" x14ac:dyDescent="0.25">
      <c r="A107" t="s">
        <v>379</v>
      </c>
    </row>
    <row r="108" spans="1:1" x14ac:dyDescent="0.25">
      <c r="A108" t="s">
        <v>380</v>
      </c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381</v>
      </c>
    </row>
    <row r="112" spans="1:1" x14ac:dyDescent="0.25">
      <c r="A112" t="s">
        <v>412</v>
      </c>
    </row>
    <row r="113" spans="1:1" x14ac:dyDescent="0.25">
      <c r="A113" t="s">
        <v>382</v>
      </c>
    </row>
    <row r="114" spans="1:1" x14ac:dyDescent="0.25">
      <c r="A114" t="s">
        <v>420</v>
      </c>
    </row>
    <row r="115" spans="1:1" x14ac:dyDescent="0.25">
      <c r="A115" t="s">
        <v>140</v>
      </c>
    </row>
    <row r="116" spans="1:1" x14ac:dyDescent="0.25">
      <c r="A116" t="s">
        <v>383</v>
      </c>
    </row>
    <row r="117" spans="1:1" x14ac:dyDescent="0.25">
      <c r="A117" t="s">
        <v>143</v>
      </c>
    </row>
    <row r="118" spans="1:1" x14ac:dyDescent="0.25">
      <c r="A118" t="s">
        <v>144</v>
      </c>
    </row>
    <row r="119" spans="1:1" x14ac:dyDescent="0.25">
      <c r="A119" t="s">
        <v>384</v>
      </c>
    </row>
    <row r="120" spans="1:1" x14ac:dyDescent="0.25">
      <c r="A120" t="s">
        <v>385</v>
      </c>
    </row>
    <row r="121" spans="1:1" x14ac:dyDescent="0.25">
      <c r="A121" t="s">
        <v>145</v>
      </c>
    </row>
    <row r="122" spans="1:1" x14ac:dyDescent="0.25">
      <c r="A122" t="s">
        <v>354</v>
      </c>
    </row>
    <row r="123" spans="1:1" x14ac:dyDescent="0.25">
      <c r="A123" t="s">
        <v>261</v>
      </c>
    </row>
    <row r="124" spans="1:1" x14ac:dyDescent="0.25">
      <c r="A124" t="s">
        <v>147</v>
      </c>
    </row>
    <row r="125" spans="1:1" x14ac:dyDescent="0.25">
      <c r="A125" t="s">
        <v>148</v>
      </c>
    </row>
    <row r="126" spans="1:1" x14ac:dyDescent="0.25">
      <c r="A126" t="s">
        <v>150</v>
      </c>
    </row>
    <row r="127" spans="1:1" x14ac:dyDescent="0.25">
      <c r="A127" t="s">
        <v>413</v>
      </c>
    </row>
    <row r="128" spans="1:1" x14ac:dyDescent="0.25">
      <c r="A128" t="s">
        <v>151</v>
      </c>
    </row>
    <row r="129" spans="1:1" x14ac:dyDescent="0.25">
      <c r="A129" t="s">
        <v>152</v>
      </c>
    </row>
    <row r="130" spans="1:1" x14ac:dyDescent="0.25">
      <c r="A130" t="s">
        <v>386</v>
      </c>
    </row>
    <row r="131" spans="1:1" x14ac:dyDescent="0.25">
      <c r="A131" t="s">
        <v>414</v>
      </c>
    </row>
    <row r="132" spans="1:1" x14ac:dyDescent="0.25">
      <c r="A132" t="s">
        <v>154</v>
      </c>
    </row>
    <row r="133" spans="1:1" x14ac:dyDescent="0.25">
      <c r="A133" t="s">
        <v>156</v>
      </c>
    </row>
    <row r="134" spans="1:1" x14ac:dyDescent="0.25">
      <c r="A134" t="s">
        <v>158</v>
      </c>
    </row>
    <row r="135" spans="1:1" x14ac:dyDescent="0.25">
      <c r="A135" t="s">
        <v>159</v>
      </c>
    </row>
    <row r="136" spans="1:1" x14ac:dyDescent="0.25">
      <c r="A136" t="s">
        <v>160</v>
      </c>
    </row>
    <row r="137" spans="1:1" x14ac:dyDescent="0.25">
      <c r="A137" t="s">
        <v>162</v>
      </c>
    </row>
    <row r="138" spans="1:1" x14ac:dyDescent="0.25">
      <c r="A138" t="s">
        <v>163</v>
      </c>
    </row>
    <row r="139" spans="1:1" x14ac:dyDescent="0.25">
      <c r="A139" t="s">
        <v>164</v>
      </c>
    </row>
    <row r="140" spans="1:1" x14ac:dyDescent="0.25">
      <c r="A140" t="s">
        <v>387</v>
      </c>
    </row>
    <row r="141" spans="1:1" x14ac:dyDescent="0.25">
      <c r="A141" t="s">
        <v>388</v>
      </c>
    </row>
    <row r="142" spans="1:1" x14ac:dyDescent="0.25">
      <c r="A142" t="s">
        <v>166</v>
      </c>
    </row>
    <row r="143" spans="1:1" x14ac:dyDescent="0.25">
      <c r="A143" t="s">
        <v>389</v>
      </c>
    </row>
    <row r="144" spans="1:1" x14ac:dyDescent="0.25">
      <c r="A144" t="s">
        <v>356</v>
      </c>
    </row>
    <row r="145" spans="1:1" x14ac:dyDescent="0.25">
      <c r="A145" t="s">
        <v>167</v>
      </c>
    </row>
    <row r="146" spans="1:1" x14ac:dyDescent="0.25">
      <c r="A146" t="s">
        <v>168</v>
      </c>
    </row>
    <row r="147" spans="1:1" x14ac:dyDescent="0.25">
      <c r="A147" t="s">
        <v>422</v>
      </c>
    </row>
    <row r="148" spans="1:1" x14ac:dyDescent="0.25">
      <c r="A148" t="s">
        <v>390</v>
      </c>
    </row>
    <row r="149" spans="1:1" x14ac:dyDescent="0.25">
      <c r="A149" t="s">
        <v>169</v>
      </c>
    </row>
    <row r="150" spans="1:1" x14ac:dyDescent="0.25">
      <c r="A150" t="s">
        <v>170</v>
      </c>
    </row>
    <row r="151" spans="1:1" x14ac:dyDescent="0.25">
      <c r="A151" t="s">
        <v>391</v>
      </c>
    </row>
    <row r="152" spans="1:1" x14ac:dyDescent="0.25">
      <c r="A152" t="s">
        <v>171</v>
      </c>
    </row>
    <row r="153" spans="1:1" x14ac:dyDescent="0.25">
      <c r="A153" t="s">
        <v>172</v>
      </c>
    </row>
    <row r="154" spans="1:1" x14ac:dyDescent="0.25">
      <c r="A154" t="s">
        <v>392</v>
      </c>
    </row>
    <row r="155" spans="1:1" x14ac:dyDescent="0.25">
      <c r="A155" t="s">
        <v>393</v>
      </c>
    </row>
    <row r="156" spans="1:1" x14ac:dyDescent="0.25">
      <c r="A156" t="s">
        <v>174</v>
      </c>
    </row>
    <row r="157" spans="1:1" x14ac:dyDescent="0.25">
      <c r="A157" t="s">
        <v>175</v>
      </c>
    </row>
    <row r="158" spans="1:1" x14ac:dyDescent="0.25">
      <c r="A158" t="s">
        <v>176</v>
      </c>
    </row>
    <row r="159" spans="1:1" x14ac:dyDescent="0.25">
      <c r="A159" t="s">
        <v>421</v>
      </c>
    </row>
    <row r="160" spans="1:1" x14ac:dyDescent="0.25">
      <c r="A160" t="s">
        <v>394</v>
      </c>
    </row>
    <row r="161" spans="1:1" x14ac:dyDescent="0.25">
      <c r="A161" t="s">
        <v>177</v>
      </c>
    </row>
    <row r="162" spans="1:1" x14ac:dyDescent="0.25">
      <c r="A162" t="s">
        <v>178</v>
      </c>
    </row>
    <row r="163" spans="1:1" x14ac:dyDescent="0.25">
      <c r="A163" t="s">
        <v>179</v>
      </c>
    </row>
    <row r="164" spans="1:1" x14ac:dyDescent="0.25">
      <c r="A164" t="s">
        <v>395</v>
      </c>
    </row>
    <row r="165" spans="1:1" x14ac:dyDescent="0.25">
      <c r="A165" t="s">
        <v>396</v>
      </c>
    </row>
    <row r="166" spans="1:1" x14ac:dyDescent="0.25">
      <c r="A166" t="s">
        <v>180</v>
      </c>
    </row>
    <row r="167" spans="1:1" x14ac:dyDescent="0.25">
      <c r="A167" t="s">
        <v>181</v>
      </c>
    </row>
    <row r="168" spans="1:1" x14ac:dyDescent="0.25">
      <c r="A168" t="s">
        <v>415</v>
      </c>
    </row>
    <row r="169" spans="1:1" x14ac:dyDescent="0.25">
      <c r="A169" t="s">
        <v>397</v>
      </c>
    </row>
    <row r="170" spans="1:1" x14ac:dyDescent="0.25">
      <c r="A170" t="s">
        <v>183</v>
      </c>
    </row>
    <row r="171" spans="1:1" x14ac:dyDescent="0.25">
      <c r="A171" t="s">
        <v>184</v>
      </c>
    </row>
    <row r="172" spans="1:1" x14ac:dyDescent="0.25">
      <c r="A172" t="s">
        <v>185</v>
      </c>
    </row>
    <row r="173" spans="1:1" x14ac:dyDescent="0.25">
      <c r="A173" t="s">
        <v>416</v>
      </c>
    </row>
    <row r="174" spans="1:1" x14ac:dyDescent="0.25">
      <c r="A174" t="s">
        <v>186</v>
      </c>
    </row>
    <row r="175" spans="1:1" x14ac:dyDescent="0.25">
      <c r="A175" t="s">
        <v>443</v>
      </c>
    </row>
    <row r="176" spans="1:1" x14ac:dyDescent="0.25">
      <c r="A176" t="s">
        <v>187</v>
      </c>
    </row>
    <row r="177" spans="1:1" x14ac:dyDescent="0.25">
      <c r="A177" t="s">
        <v>188</v>
      </c>
    </row>
    <row r="178" spans="1:1" x14ac:dyDescent="0.25">
      <c r="A178" t="s">
        <v>189</v>
      </c>
    </row>
    <row r="179" spans="1:1" x14ac:dyDescent="0.25">
      <c r="A179" t="s">
        <v>190</v>
      </c>
    </row>
    <row r="180" spans="1:1" x14ac:dyDescent="0.25">
      <c r="A180" t="s">
        <v>262</v>
      </c>
    </row>
    <row r="181" spans="1:1" x14ac:dyDescent="0.25">
      <c r="A181" t="s">
        <v>191</v>
      </c>
    </row>
    <row r="182" spans="1:1" x14ac:dyDescent="0.25">
      <c r="A182" t="s">
        <v>398</v>
      </c>
    </row>
    <row r="183" spans="1:1" x14ac:dyDescent="0.25">
      <c r="A183" t="s">
        <v>399</v>
      </c>
    </row>
    <row r="184" spans="1:1" x14ac:dyDescent="0.25">
      <c r="A184" t="s">
        <v>192</v>
      </c>
    </row>
    <row r="185" spans="1:1" x14ac:dyDescent="0.25">
      <c r="A185" t="s">
        <v>193</v>
      </c>
    </row>
    <row r="186" spans="1:1" x14ac:dyDescent="0.25">
      <c r="A186" t="s">
        <v>400</v>
      </c>
    </row>
    <row r="187" spans="1:1" x14ac:dyDescent="0.25">
      <c r="A187" t="s">
        <v>423</v>
      </c>
    </row>
    <row r="188" spans="1:1" x14ac:dyDescent="0.25">
      <c r="A188" t="s">
        <v>195</v>
      </c>
    </row>
    <row r="189" spans="1:1" x14ac:dyDescent="0.25">
      <c r="A189" t="s">
        <v>196</v>
      </c>
    </row>
    <row r="190" spans="1:1" x14ac:dyDescent="0.25">
      <c r="A190" t="s">
        <v>198</v>
      </c>
    </row>
    <row r="191" spans="1:1" x14ac:dyDescent="0.25">
      <c r="A191" t="s">
        <v>401</v>
      </c>
    </row>
    <row r="192" spans="1:1" x14ac:dyDescent="0.25">
      <c r="A192" t="s">
        <v>199</v>
      </c>
    </row>
    <row r="193" spans="1:1" x14ac:dyDescent="0.25">
      <c r="A193" t="s">
        <v>200</v>
      </c>
    </row>
    <row r="194" spans="1:1" x14ac:dyDescent="0.25">
      <c r="A194" t="s">
        <v>201</v>
      </c>
    </row>
    <row r="195" spans="1:1" x14ac:dyDescent="0.25">
      <c r="A195" t="s">
        <v>402</v>
      </c>
    </row>
    <row r="196" spans="1:1" x14ac:dyDescent="0.25">
      <c r="A196" t="s">
        <v>202</v>
      </c>
    </row>
    <row r="197" spans="1:1" x14ac:dyDescent="0.25">
      <c r="A197" t="s">
        <v>203</v>
      </c>
    </row>
    <row r="198" spans="1:1" x14ac:dyDescent="0.25">
      <c r="A198" t="s">
        <v>403</v>
      </c>
    </row>
    <row r="199" spans="1:1" x14ac:dyDescent="0.25">
      <c r="A199" t="s">
        <v>404</v>
      </c>
    </row>
    <row r="200" spans="1:1" x14ac:dyDescent="0.25">
      <c r="A200" t="s">
        <v>204</v>
      </c>
    </row>
    <row r="201" spans="1:1" x14ac:dyDescent="0.25">
      <c r="A201" t="s">
        <v>205</v>
      </c>
    </row>
    <row r="202" spans="1:1" x14ac:dyDescent="0.25">
      <c r="A202" t="s">
        <v>405</v>
      </c>
    </row>
    <row r="203" spans="1:1" x14ac:dyDescent="0.25">
      <c r="A203" t="s">
        <v>206</v>
      </c>
    </row>
    <row r="204" spans="1:1" x14ac:dyDescent="0.25">
      <c r="A204" t="s">
        <v>207</v>
      </c>
    </row>
    <row r="205" spans="1:1" x14ac:dyDescent="0.25">
      <c r="A205" t="s">
        <v>209</v>
      </c>
    </row>
    <row r="206" spans="1:1" x14ac:dyDescent="0.25">
      <c r="A206" t="s">
        <v>406</v>
      </c>
    </row>
    <row r="207" spans="1:1" x14ac:dyDescent="0.25">
      <c r="A207" t="s">
        <v>355</v>
      </c>
    </row>
    <row r="208" spans="1:1" x14ac:dyDescent="0.25">
      <c r="A208" t="s">
        <v>417</v>
      </c>
    </row>
    <row r="209" spans="1:1" x14ac:dyDescent="0.25">
      <c r="A209" t="s">
        <v>210</v>
      </c>
    </row>
    <row r="210" spans="1:1" x14ac:dyDescent="0.25">
      <c r="A210" t="s">
        <v>407</v>
      </c>
    </row>
    <row r="211" spans="1:1" x14ac:dyDescent="0.25">
      <c r="A211" t="s">
        <v>211</v>
      </c>
    </row>
    <row r="212" spans="1:1" x14ac:dyDescent="0.25">
      <c r="A212" t="s">
        <v>212</v>
      </c>
    </row>
    <row r="213" spans="1:1" x14ac:dyDescent="0.25">
      <c r="A213" t="s">
        <v>213</v>
      </c>
    </row>
    <row r="214" spans="1:1" x14ac:dyDescent="0.25">
      <c r="A214" t="s">
        <v>408</v>
      </c>
    </row>
    <row r="215" spans="1:1" x14ac:dyDescent="0.25">
      <c r="A215" t="s">
        <v>215</v>
      </c>
    </row>
    <row r="216" spans="1:1" x14ac:dyDescent="0.25">
      <c r="A216" t="s">
        <v>315</v>
      </c>
    </row>
    <row r="217" spans="1:1" x14ac:dyDescent="0.25">
      <c r="A217" t="s">
        <v>316</v>
      </c>
    </row>
    <row r="218" spans="1:1" x14ac:dyDescent="0.25">
      <c r="A218" t="s">
        <v>317</v>
      </c>
    </row>
    <row r="219" spans="1:1" x14ac:dyDescent="0.25">
      <c r="A219" t="s">
        <v>318</v>
      </c>
    </row>
    <row r="220" spans="1:1" x14ac:dyDescent="0.25">
      <c r="A220" t="s">
        <v>319</v>
      </c>
    </row>
    <row r="221" spans="1:1" x14ac:dyDescent="0.25">
      <c r="A221" t="s">
        <v>320</v>
      </c>
    </row>
    <row r="222" spans="1:1" x14ac:dyDescent="0.25">
      <c r="A222" t="s">
        <v>321</v>
      </c>
    </row>
    <row r="223" spans="1:1" x14ac:dyDescent="0.25">
      <c r="A223" t="s">
        <v>322</v>
      </c>
    </row>
    <row r="224" spans="1:1" x14ac:dyDescent="0.25">
      <c r="A224" t="s">
        <v>323</v>
      </c>
    </row>
    <row r="225" spans="1:1" x14ac:dyDescent="0.25">
      <c r="A225" t="s">
        <v>324</v>
      </c>
    </row>
    <row r="226" spans="1:1" x14ac:dyDescent="0.25">
      <c r="A226" t="s">
        <v>325</v>
      </c>
    </row>
    <row r="227" spans="1:1" x14ac:dyDescent="0.25">
      <c r="A227" t="s">
        <v>326</v>
      </c>
    </row>
    <row r="228" spans="1:1" x14ac:dyDescent="0.25">
      <c r="A228" t="s">
        <v>327</v>
      </c>
    </row>
    <row r="229" spans="1:1" x14ac:dyDescent="0.25">
      <c r="A229" t="s">
        <v>328</v>
      </c>
    </row>
    <row r="230" spans="1:1" x14ac:dyDescent="0.25">
      <c r="A230" t="s">
        <v>329</v>
      </c>
    </row>
    <row r="231" spans="1:1" x14ac:dyDescent="0.25">
      <c r="A231" t="s">
        <v>330</v>
      </c>
    </row>
    <row r="232" spans="1:1" x14ac:dyDescent="0.25">
      <c r="A232" t="s">
        <v>352</v>
      </c>
    </row>
    <row r="233" spans="1:1" x14ac:dyDescent="0.25">
      <c r="A233" t="s">
        <v>353</v>
      </c>
    </row>
  </sheetData>
  <mergeCells count="5">
    <mergeCell ref="I6:J6"/>
    <mergeCell ref="D1:E1"/>
    <mergeCell ref="H1:J1"/>
    <mergeCell ref="I3:J3"/>
    <mergeCell ref="I4:J4"/>
  </mergeCells>
  <dataValidations count="3">
    <dataValidation type="list" allowBlank="1" showInputMessage="1" showErrorMessage="1" sqref="E2" xr:uid="{FF14B7CF-0574-4E85-93AA-BD44D825B19E}">
      <formula1>"NFO-OPT,BFO-OPT,CDS-OPT,MCX-OPT"</formula1>
    </dataValidation>
    <dataValidation type="list" allowBlank="1" showInputMessage="1" showErrorMessage="1" sqref="E7" xr:uid="{6E107BD7-4CCC-4285-A539-38497CCAA285}">
      <formula1>"MONTHLY,WEEKLY"</formula1>
    </dataValidation>
    <dataValidation type="list" allowBlank="1" showInputMessage="1" showErrorMessage="1" sqref="E8" xr:uid="{859F9223-884A-4D2F-B16B-CF7D5355D569}">
      <formula1>"NSE,SENSIBULL"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E500"/>
  <sheetViews>
    <sheetView zoomScale="85" zoomScaleNormal="85" workbookViewId="0">
      <pane ySplit="2" topLeftCell="A11" activePane="bottomLeft" state="frozen"/>
      <selection pane="bottomLeft" activeCell="Y33" sqref="Y33"/>
    </sheetView>
  </sheetViews>
  <sheetFormatPr defaultRowHeight="15" x14ac:dyDescent="0.25"/>
  <cols>
    <col min="12" max="15" width="0" hidden="1" customWidth="1"/>
    <col min="17" max="20" width="0" hidden="1" customWidth="1"/>
  </cols>
  <sheetData>
    <row r="1" spans="1:31" ht="30.75" thickBot="1" x14ac:dyDescent="0.3">
      <c r="A1" s="88" t="s">
        <v>250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25" t="s">
        <v>263</v>
      </c>
      <c r="Q1" s="88" t="s">
        <v>251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x14ac:dyDescent="0.25">
      <c r="A2" s="24" t="s">
        <v>252</v>
      </c>
      <c r="B2" s="24" t="s">
        <v>264</v>
      </c>
      <c r="C2" s="24" t="s">
        <v>265</v>
      </c>
      <c r="D2" s="24" t="s">
        <v>266</v>
      </c>
      <c r="E2" s="24" t="s">
        <v>267</v>
      </c>
      <c r="F2" s="24" t="s">
        <v>49</v>
      </c>
      <c r="G2" s="22" t="s">
        <v>253</v>
      </c>
      <c r="H2" s="22" t="s">
        <v>254</v>
      </c>
      <c r="I2" s="22" t="s">
        <v>255</v>
      </c>
      <c r="J2" s="22" t="s">
        <v>14</v>
      </c>
      <c r="K2" s="22" t="s">
        <v>256</v>
      </c>
      <c r="L2" s="22" t="s">
        <v>257</v>
      </c>
      <c r="M2" s="22" t="s">
        <v>258</v>
      </c>
      <c r="N2" s="22" t="s">
        <v>259</v>
      </c>
      <c r="O2" s="22" t="s">
        <v>260</v>
      </c>
      <c r="P2" s="22" t="s">
        <v>268</v>
      </c>
      <c r="Q2" s="22" t="s">
        <v>257</v>
      </c>
      <c r="R2" s="22" t="s">
        <v>258</v>
      </c>
      <c r="S2" s="22" t="s">
        <v>259</v>
      </c>
      <c r="T2" s="22" t="s">
        <v>260</v>
      </c>
      <c r="U2" s="22" t="s">
        <v>256</v>
      </c>
      <c r="V2" s="22" t="s">
        <v>14</v>
      </c>
      <c r="W2" s="22" t="s">
        <v>255</v>
      </c>
      <c r="X2" s="22" t="s">
        <v>254</v>
      </c>
      <c r="Y2" s="26" t="s">
        <v>253</v>
      </c>
      <c r="Z2" s="27" t="s">
        <v>49</v>
      </c>
      <c r="AA2" s="27" t="s">
        <v>267</v>
      </c>
      <c r="AB2" s="27" t="s">
        <v>266</v>
      </c>
      <c r="AC2" s="27" t="s">
        <v>265</v>
      </c>
      <c r="AD2" s="27" t="s">
        <v>264</v>
      </c>
      <c r="AE2" s="24" t="s">
        <v>252</v>
      </c>
    </row>
    <row r="3" spans="1:31" x14ac:dyDescent="0.25">
      <c r="A3" s="28">
        <v>0.99</v>
      </c>
      <c r="B3" s="28">
        <v>0</v>
      </c>
      <c r="C3" s="28">
        <v>-1.42</v>
      </c>
      <c r="D3" s="28">
        <v>0.65</v>
      </c>
      <c r="E3" s="28">
        <v>0.32700000000000001</v>
      </c>
      <c r="F3" s="28">
        <v>15</v>
      </c>
      <c r="G3" s="28">
        <v>0</v>
      </c>
      <c r="H3" s="28">
        <v>0</v>
      </c>
      <c r="I3" s="28">
        <v>22.54</v>
      </c>
      <c r="J3" s="28">
        <v>1397</v>
      </c>
      <c r="K3" s="28">
        <v>0.32</v>
      </c>
      <c r="L3" s="28" t="s">
        <v>22</v>
      </c>
      <c r="M3" s="28">
        <v>1369.65</v>
      </c>
      <c r="N3" s="28">
        <v>1704.4</v>
      </c>
      <c r="O3" s="28" t="s">
        <v>22</v>
      </c>
      <c r="P3" s="29">
        <v>23900</v>
      </c>
      <c r="Q3" s="28" t="s">
        <v>22</v>
      </c>
      <c r="R3" s="28">
        <v>1.8</v>
      </c>
      <c r="S3" s="28">
        <v>1.85</v>
      </c>
      <c r="T3" s="28" t="s">
        <v>22</v>
      </c>
      <c r="U3" s="28">
        <v>-38.979999999999997</v>
      </c>
      <c r="V3" s="28">
        <v>1.8</v>
      </c>
      <c r="W3" s="28">
        <v>22.54</v>
      </c>
      <c r="X3" s="28">
        <v>90510</v>
      </c>
      <c r="Y3" s="28">
        <v>-6754</v>
      </c>
      <c r="Z3" s="28">
        <v>11864</v>
      </c>
      <c r="AA3" s="28">
        <v>-3.0000000000000001E-3</v>
      </c>
      <c r="AB3" s="28">
        <v>0.65</v>
      </c>
      <c r="AC3" s="28">
        <v>-1.42</v>
      </c>
      <c r="AD3" s="28">
        <v>0</v>
      </c>
      <c r="AE3" s="28">
        <v>-0.01</v>
      </c>
    </row>
    <row r="4" spans="1:31" x14ac:dyDescent="0.25">
      <c r="A4" s="28">
        <v>0.99</v>
      </c>
      <c r="B4" s="28">
        <v>0</v>
      </c>
      <c r="C4" s="28">
        <v>-1.51</v>
      </c>
      <c r="D4" s="28">
        <v>0.71</v>
      </c>
      <c r="E4" s="28">
        <v>0.32800000000000001</v>
      </c>
      <c r="F4" s="28">
        <v>4</v>
      </c>
      <c r="G4" s="28">
        <v>0</v>
      </c>
      <c r="H4" s="28">
        <v>0</v>
      </c>
      <c r="I4" s="28">
        <v>22.1</v>
      </c>
      <c r="J4" s="28">
        <v>946.65</v>
      </c>
      <c r="K4" s="28">
        <v>0</v>
      </c>
      <c r="L4" s="28" t="s">
        <v>22</v>
      </c>
      <c r="M4" s="28">
        <v>1468.45</v>
      </c>
      <c r="N4" s="28">
        <v>1576.65</v>
      </c>
      <c r="O4" s="28" t="s">
        <v>22</v>
      </c>
      <c r="P4" s="29">
        <v>23950</v>
      </c>
      <c r="Q4" s="28" t="s">
        <v>22</v>
      </c>
      <c r="R4" s="28">
        <v>1.75</v>
      </c>
      <c r="S4" s="28">
        <v>1.95</v>
      </c>
      <c r="T4" s="28" t="s">
        <v>22</v>
      </c>
      <c r="U4" s="28">
        <v>-37.1</v>
      </c>
      <c r="V4" s="28">
        <v>1.95</v>
      </c>
      <c r="W4" s="28">
        <v>22.1</v>
      </c>
      <c r="X4" s="28">
        <v>39577</v>
      </c>
      <c r="Y4" s="28">
        <v>-459</v>
      </c>
      <c r="Z4" s="28">
        <v>2402</v>
      </c>
      <c r="AA4" s="28">
        <v>-3.0000000000000001E-3</v>
      </c>
      <c r="AB4" s="28">
        <v>0.71</v>
      </c>
      <c r="AC4" s="28">
        <v>-1.51</v>
      </c>
      <c r="AD4" s="28">
        <v>0</v>
      </c>
      <c r="AE4" s="28">
        <v>-0.01</v>
      </c>
    </row>
    <row r="5" spans="1:31" x14ac:dyDescent="0.25">
      <c r="A5" s="28">
        <v>0.99</v>
      </c>
      <c r="B5" s="28">
        <v>0</v>
      </c>
      <c r="C5" s="28">
        <v>-1.53</v>
      </c>
      <c r="D5" s="28">
        <v>0.74</v>
      </c>
      <c r="E5" s="28">
        <v>0.314</v>
      </c>
      <c r="F5" s="28">
        <v>1117</v>
      </c>
      <c r="G5" s="28">
        <v>-42</v>
      </c>
      <c r="H5" s="28">
        <v>124</v>
      </c>
      <c r="I5" s="28">
        <v>21.51</v>
      </c>
      <c r="J5" s="28">
        <v>1470.5</v>
      </c>
      <c r="K5" s="28">
        <v>6.14</v>
      </c>
      <c r="L5" s="28" t="s">
        <v>22</v>
      </c>
      <c r="M5" s="28">
        <v>1467.1</v>
      </c>
      <c r="N5" s="28">
        <v>1470</v>
      </c>
      <c r="O5" s="28" t="s">
        <v>22</v>
      </c>
      <c r="P5" s="29">
        <v>24000</v>
      </c>
      <c r="Q5" s="28" t="s">
        <v>22</v>
      </c>
      <c r="R5" s="28">
        <v>2</v>
      </c>
      <c r="S5" s="28">
        <v>2.0499999999999998</v>
      </c>
      <c r="T5" s="28" t="s">
        <v>22</v>
      </c>
      <c r="U5" s="28">
        <v>-39.39</v>
      </c>
      <c r="V5" s="28">
        <v>2</v>
      </c>
      <c r="W5" s="28">
        <v>21.51</v>
      </c>
      <c r="X5" s="28">
        <v>369441</v>
      </c>
      <c r="Y5" s="28">
        <v>4776</v>
      </c>
      <c r="Z5" s="28">
        <v>92619</v>
      </c>
      <c r="AA5" s="28">
        <v>-3.0000000000000001E-3</v>
      </c>
      <c r="AB5" s="28">
        <v>0.74</v>
      </c>
      <c r="AC5" s="28">
        <v>-1.53</v>
      </c>
      <c r="AD5" s="28">
        <v>0</v>
      </c>
      <c r="AE5" s="28">
        <v>-0.01</v>
      </c>
    </row>
    <row r="6" spans="1:31" x14ac:dyDescent="0.25">
      <c r="A6" s="28">
        <v>0.99</v>
      </c>
      <c r="B6" s="28">
        <v>0</v>
      </c>
      <c r="C6" s="28">
        <v>-1.57</v>
      </c>
      <c r="D6" s="28">
        <v>0.78</v>
      </c>
      <c r="E6" s="28">
        <v>0.32900000000000001</v>
      </c>
      <c r="F6" s="28">
        <v>11</v>
      </c>
      <c r="G6" s="28">
        <v>0</v>
      </c>
      <c r="H6" s="28">
        <v>2</v>
      </c>
      <c r="I6" s="28">
        <v>20.97</v>
      </c>
      <c r="J6" s="28">
        <v>1396.1</v>
      </c>
      <c r="K6" s="28">
        <v>6.21</v>
      </c>
      <c r="L6" s="28" t="s">
        <v>22</v>
      </c>
      <c r="M6" s="28">
        <v>1368.45</v>
      </c>
      <c r="N6" s="28">
        <v>1478</v>
      </c>
      <c r="O6" s="28" t="s">
        <v>22</v>
      </c>
      <c r="P6" s="29">
        <v>24050</v>
      </c>
      <c r="Q6" s="28" t="s">
        <v>22</v>
      </c>
      <c r="R6" s="28">
        <v>2</v>
      </c>
      <c r="S6" s="28">
        <v>2.1</v>
      </c>
      <c r="T6" s="28" t="s">
        <v>22</v>
      </c>
      <c r="U6" s="28">
        <v>-39.130000000000003</v>
      </c>
      <c r="V6" s="28">
        <v>2.1</v>
      </c>
      <c r="W6" s="28">
        <v>20.97</v>
      </c>
      <c r="X6" s="28">
        <v>55807</v>
      </c>
      <c r="Y6" s="28">
        <v>-315</v>
      </c>
      <c r="Z6" s="28">
        <v>3513</v>
      </c>
      <c r="AA6" s="28">
        <v>-3.0000000000000001E-3</v>
      </c>
      <c r="AB6" s="28">
        <v>0.78</v>
      </c>
      <c r="AC6" s="28">
        <v>-1.57</v>
      </c>
      <c r="AD6" s="28">
        <v>0</v>
      </c>
      <c r="AE6" s="28">
        <v>-0.01</v>
      </c>
    </row>
    <row r="7" spans="1:31" x14ac:dyDescent="0.25">
      <c r="A7" s="28">
        <v>0.99</v>
      </c>
      <c r="B7" s="28">
        <v>0</v>
      </c>
      <c r="C7" s="28">
        <v>-1.59</v>
      </c>
      <c r="D7" s="28">
        <v>0.82</v>
      </c>
      <c r="E7" s="28">
        <v>0.33</v>
      </c>
      <c r="F7" s="28">
        <v>80</v>
      </c>
      <c r="G7" s="28">
        <v>0</v>
      </c>
      <c r="H7" s="28">
        <v>1</v>
      </c>
      <c r="I7" s="28">
        <v>20.36</v>
      </c>
      <c r="J7" s="28">
        <v>1350.15</v>
      </c>
      <c r="K7" s="28">
        <v>5</v>
      </c>
      <c r="L7" s="28" t="s">
        <v>22</v>
      </c>
      <c r="M7" s="28">
        <v>1318.5</v>
      </c>
      <c r="N7" s="28">
        <v>1428.05</v>
      </c>
      <c r="O7" s="28" t="s">
        <v>22</v>
      </c>
      <c r="P7" s="29">
        <v>24100</v>
      </c>
      <c r="Q7" s="28" t="s">
        <v>22</v>
      </c>
      <c r="R7" s="28">
        <v>2.0499999999999998</v>
      </c>
      <c r="S7" s="28">
        <v>2.2000000000000002</v>
      </c>
      <c r="T7" s="28" t="s">
        <v>22</v>
      </c>
      <c r="U7" s="28">
        <v>-40.28</v>
      </c>
      <c r="V7" s="28">
        <v>2.15</v>
      </c>
      <c r="W7" s="28">
        <v>20.36</v>
      </c>
      <c r="X7" s="28">
        <v>164557</v>
      </c>
      <c r="Y7" s="28">
        <v>-3094</v>
      </c>
      <c r="Z7" s="28">
        <v>19122</v>
      </c>
      <c r="AA7" s="28">
        <v>-4.0000000000000001E-3</v>
      </c>
      <c r="AB7" s="28">
        <v>0.82</v>
      </c>
      <c r="AC7" s="28">
        <v>-1.59</v>
      </c>
      <c r="AD7" s="28">
        <v>0</v>
      </c>
      <c r="AE7" s="28">
        <v>-0.01</v>
      </c>
    </row>
    <row r="8" spans="1:31" x14ac:dyDescent="0.25">
      <c r="A8" s="28">
        <v>0.99</v>
      </c>
      <c r="B8" s="28">
        <v>0</v>
      </c>
      <c r="C8" s="28">
        <v>-1.61</v>
      </c>
      <c r="D8" s="28">
        <v>0.85</v>
      </c>
      <c r="E8" s="28">
        <v>0.33</v>
      </c>
      <c r="F8" s="28">
        <v>19</v>
      </c>
      <c r="G8" s="28">
        <v>-1</v>
      </c>
      <c r="H8" s="28">
        <v>3</v>
      </c>
      <c r="I8" s="28">
        <v>19.739999999999998</v>
      </c>
      <c r="J8" s="28">
        <v>1295.0999999999999</v>
      </c>
      <c r="K8" s="28">
        <v>4.9000000000000004</v>
      </c>
      <c r="L8" s="28" t="s">
        <v>22</v>
      </c>
      <c r="M8" s="28">
        <v>1269</v>
      </c>
      <c r="N8" s="28">
        <v>1377.95</v>
      </c>
      <c r="O8" s="28" t="s">
        <v>22</v>
      </c>
      <c r="P8" s="29">
        <v>24150</v>
      </c>
      <c r="Q8" s="28" t="s">
        <v>22</v>
      </c>
      <c r="R8" s="28">
        <v>2.15</v>
      </c>
      <c r="S8" s="28">
        <v>2.2000000000000002</v>
      </c>
      <c r="T8" s="28" t="s">
        <v>22</v>
      </c>
      <c r="U8" s="28">
        <v>-42.11</v>
      </c>
      <c r="V8" s="28">
        <v>2.2000000000000002</v>
      </c>
      <c r="W8" s="28">
        <v>19.739999999999998</v>
      </c>
      <c r="X8" s="28">
        <v>52234</v>
      </c>
      <c r="Y8" s="28">
        <v>1488</v>
      </c>
      <c r="Z8" s="28">
        <v>5436</v>
      </c>
      <c r="AA8" s="28">
        <v>-4.0000000000000001E-3</v>
      </c>
      <c r="AB8" s="28">
        <v>0.85</v>
      </c>
      <c r="AC8" s="28">
        <v>-1.61</v>
      </c>
      <c r="AD8" s="28">
        <v>0</v>
      </c>
      <c r="AE8" s="28">
        <v>-0.01</v>
      </c>
    </row>
    <row r="9" spans="1:31" x14ac:dyDescent="0.25">
      <c r="A9" s="28">
        <v>0.99</v>
      </c>
      <c r="B9" s="28">
        <v>1E-4</v>
      </c>
      <c r="C9" s="28">
        <v>-1.65</v>
      </c>
      <c r="D9" s="28">
        <v>0.9</v>
      </c>
      <c r="E9" s="28">
        <v>0.312</v>
      </c>
      <c r="F9" s="28">
        <v>317</v>
      </c>
      <c r="G9" s="28">
        <v>-5</v>
      </c>
      <c r="H9" s="28">
        <v>10</v>
      </c>
      <c r="I9" s="28">
        <v>19.18</v>
      </c>
      <c r="J9" s="28">
        <v>1276.05</v>
      </c>
      <c r="K9" s="28">
        <v>7.59</v>
      </c>
      <c r="L9" s="28" t="s">
        <v>22</v>
      </c>
      <c r="M9" s="28">
        <v>1219.3</v>
      </c>
      <c r="N9" s="28">
        <v>1328.05</v>
      </c>
      <c r="O9" s="28" t="s">
        <v>22</v>
      </c>
      <c r="P9" s="29">
        <v>24200</v>
      </c>
      <c r="Q9" s="28" t="s">
        <v>22</v>
      </c>
      <c r="R9" s="28">
        <v>2.15</v>
      </c>
      <c r="S9" s="28">
        <v>2.2999999999999998</v>
      </c>
      <c r="T9" s="28" t="s">
        <v>22</v>
      </c>
      <c r="U9" s="28">
        <v>-42.5</v>
      </c>
      <c r="V9" s="28">
        <v>2.2999999999999998</v>
      </c>
      <c r="W9" s="28">
        <v>19.18</v>
      </c>
      <c r="X9" s="28">
        <v>300769</v>
      </c>
      <c r="Y9" s="28">
        <v>-10728</v>
      </c>
      <c r="Z9" s="28">
        <v>46786</v>
      </c>
      <c r="AA9" s="28">
        <v>-4.0000000000000001E-3</v>
      </c>
      <c r="AB9" s="28">
        <v>0.9</v>
      </c>
      <c r="AC9" s="28">
        <v>-1.65</v>
      </c>
      <c r="AD9" s="28">
        <v>1E-4</v>
      </c>
      <c r="AE9" s="28">
        <v>-0.01</v>
      </c>
    </row>
    <row r="10" spans="1:31" x14ac:dyDescent="0.25">
      <c r="A10" s="28">
        <v>0.99</v>
      </c>
      <c r="B10" s="28">
        <v>1E-4</v>
      </c>
      <c r="C10" s="28">
        <v>-1.64</v>
      </c>
      <c r="D10" s="28">
        <v>0.93</v>
      </c>
      <c r="E10" s="28">
        <v>0.318</v>
      </c>
      <c r="F10" s="28">
        <v>45</v>
      </c>
      <c r="G10" s="28">
        <v>2</v>
      </c>
      <c r="H10" s="28">
        <v>6</v>
      </c>
      <c r="I10" s="28">
        <v>18.5</v>
      </c>
      <c r="J10" s="28">
        <v>1218.5</v>
      </c>
      <c r="K10" s="28">
        <v>7.16</v>
      </c>
      <c r="L10" s="28" t="s">
        <v>22</v>
      </c>
      <c r="M10" s="28">
        <v>1167.0999999999999</v>
      </c>
      <c r="N10" s="28">
        <v>1278</v>
      </c>
      <c r="O10" s="28" t="s">
        <v>22</v>
      </c>
      <c r="P10" s="29">
        <v>24250</v>
      </c>
      <c r="Q10" s="28" t="s">
        <v>22</v>
      </c>
      <c r="R10" s="28">
        <v>2.25</v>
      </c>
      <c r="S10" s="28">
        <v>2.4</v>
      </c>
      <c r="T10" s="28" t="s">
        <v>22</v>
      </c>
      <c r="U10" s="28">
        <v>-43.9</v>
      </c>
      <c r="V10" s="28">
        <v>2.2999999999999998</v>
      </c>
      <c r="W10" s="28">
        <v>18.5</v>
      </c>
      <c r="X10" s="28">
        <v>58171</v>
      </c>
      <c r="Y10" s="28">
        <v>-1828</v>
      </c>
      <c r="Z10" s="28">
        <v>6593</v>
      </c>
      <c r="AA10" s="28">
        <v>-4.0000000000000001E-3</v>
      </c>
      <c r="AB10" s="28">
        <v>0.93</v>
      </c>
      <c r="AC10" s="28">
        <v>-1.64</v>
      </c>
      <c r="AD10" s="28">
        <v>1E-4</v>
      </c>
      <c r="AE10" s="28">
        <v>-0.01</v>
      </c>
    </row>
    <row r="11" spans="1:31" x14ac:dyDescent="0.25">
      <c r="A11" s="28">
        <v>0.99</v>
      </c>
      <c r="B11" s="28">
        <v>1E-4</v>
      </c>
      <c r="C11" s="28">
        <v>-1.65</v>
      </c>
      <c r="D11" s="28">
        <v>0.97</v>
      </c>
      <c r="E11" s="28">
        <v>0.308</v>
      </c>
      <c r="F11" s="28">
        <v>177</v>
      </c>
      <c r="G11" s="28">
        <v>-18</v>
      </c>
      <c r="H11" s="28">
        <v>57</v>
      </c>
      <c r="I11" s="28">
        <v>17.87</v>
      </c>
      <c r="J11" s="28">
        <v>1181.8</v>
      </c>
      <c r="K11" s="28">
        <v>8.77</v>
      </c>
      <c r="L11" s="28" t="s">
        <v>22</v>
      </c>
      <c r="M11" s="28">
        <v>1119.8499999999999</v>
      </c>
      <c r="N11" s="28">
        <v>1228.0999999999999</v>
      </c>
      <c r="O11" s="28" t="s">
        <v>22</v>
      </c>
      <c r="P11" s="29">
        <v>24300</v>
      </c>
      <c r="Q11" s="28" t="s">
        <v>22</v>
      </c>
      <c r="R11" s="28">
        <v>2.2999999999999998</v>
      </c>
      <c r="S11" s="28">
        <v>2.4500000000000002</v>
      </c>
      <c r="T11" s="28" t="s">
        <v>22</v>
      </c>
      <c r="U11" s="28">
        <v>-45.35</v>
      </c>
      <c r="V11" s="28">
        <v>2.35</v>
      </c>
      <c r="W11" s="28">
        <v>17.87</v>
      </c>
      <c r="X11" s="28">
        <v>368323</v>
      </c>
      <c r="Y11" s="28">
        <v>11885</v>
      </c>
      <c r="Z11" s="28">
        <v>52789</v>
      </c>
      <c r="AA11" s="28">
        <v>-4.0000000000000001E-3</v>
      </c>
      <c r="AB11" s="28">
        <v>0.97</v>
      </c>
      <c r="AC11" s="28">
        <v>-1.65</v>
      </c>
      <c r="AD11" s="28">
        <v>1E-4</v>
      </c>
      <c r="AE11" s="28">
        <v>-0.01</v>
      </c>
    </row>
    <row r="12" spans="1:31" x14ac:dyDescent="0.25">
      <c r="A12" s="28">
        <v>0.99</v>
      </c>
      <c r="B12" s="28">
        <v>1E-4</v>
      </c>
      <c r="C12" s="28">
        <v>-1.74</v>
      </c>
      <c r="D12" s="28">
        <v>1.06</v>
      </c>
      <c r="E12" s="28">
        <v>0.316</v>
      </c>
      <c r="F12" s="28">
        <v>20</v>
      </c>
      <c r="G12" s="28">
        <v>2</v>
      </c>
      <c r="H12" s="28">
        <v>16</v>
      </c>
      <c r="I12" s="28">
        <v>17.38</v>
      </c>
      <c r="J12" s="28">
        <v>1120.4000000000001</v>
      </c>
      <c r="K12" s="28">
        <v>18.399999999999999</v>
      </c>
      <c r="L12" s="28" t="s">
        <v>22</v>
      </c>
      <c r="M12" s="28">
        <v>1070.4000000000001</v>
      </c>
      <c r="N12" s="28">
        <v>1178.7</v>
      </c>
      <c r="O12" s="28" t="s">
        <v>22</v>
      </c>
      <c r="P12" s="29">
        <v>24350</v>
      </c>
      <c r="Q12" s="28" t="s">
        <v>22</v>
      </c>
      <c r="R12" s="28">
        <v>2.5</v>
      </c>
      <c r="S12" s="28">
        <v>2.7</v>
      </c>
      <c r="T12" s="28" t="s">
        <v>22</v>
      </c>
      <c r="U12" s="28">
        <v>-44.57</v>
      </c>
      <c r="V12" s="28">
        <v>2.5499999999999998</v>
      </c>
      <c r="W12" s="28">
        <v>17.38</v>
      </c>
      <c r="X12" s="28">
        <v>100166</v>
      </c>
      <c r="Y12" s="28">
        <v>195</v>
      </c>
      <c r="Z12" s="28">
        <v>8032</v>
      </c>
      <c r="AA12" s="28">
        <v>-5.0000000000000001E-3</v>
      </c>
      <c r="AB12" s="28">
        <v>1.06</v>
      </c>
      <c r="AC12" s="28">
        <v>-1.74</v>
      </c>
      <c r="AD12" s="28">
        <v>1E-4</v>
      </c>
      <c r="AE12" s="28">
        <v>-0.01</v>
      </c>
    </row>
    <row r="13" spans="1:31" x14ac:dyDescent="0.25">
      <c r="A13" s="28">
        <v>0.98</v>
      </c>
      <c r="B13" s="28">
        <v>1E-4</v>
      </c>
      <c r="C13" s="28">
        <v>-1.8</v>
      </c>
      <c r="D13" s="28">
        <v>1.1299999999999999</v>
      </c>
      <c r="E13" s="28">
        <v>0.316</v>
      </c>
      <c r="F13" s="28">
        <v>478</v>
      </c>
      <c r="G13" s="28">
        <v>-62</v>
      </c>
      <c r="H13" s="28">
        <v>160</v>
      </c>
      <c r="I13" s="28">
        <v>16.82</v>
      </c>
      <c r="J13" s="28">
        <v>1070.9000000000001</v>
      </c>
      <c r="K13" s="28">
        <v>8.41</v>
      </c>
      <c r="L13" s="28" t="s">
        <v>22</v>
      </c>
      <c r="M13" s="28">
        <v>1065.2</v>
      </c>
      <c r="N13" s="28">
        <v>1076.7</v>
      </c>
      <c r="O13" s="28" t="s">
        <v>22</v>
      </c>
      <c r="P13" s="29">
        <v>24400</v>
      </c>
      <c r="Q13" s="28" t="s">
        <v>22</v>
      </c>
      <c r="R13" s="28">
        <v>2.7</v>
      </c>
      <c r="S13" s="28">
        <v>2.8</v>
      </c>
      <c r="T13" s="28" t="s">
        <v>22</v>
      </c>
      <c r="U13" s="28">
        <v>-43.75</v>
      </c>
      <c r="V13" s="28">
        <v>2.7</v>
      </c>
      <c r="W13" s="28">
        <v>16.82</v>
      </c>
      <c r="X13" s="28">
        <v>365539</v>
      </c>
      <c r="Y13" s="28">
        <v>32843</v>
      </c>
      <c r="Z13" s="28">
        <v>64311</v>
      </c>
      <c r="AA13" s="28">
        <v>-5.0000000000000001E-3</v>
      </c>
      <c r="AB13" s="28">
        <v>1.1299999999999999</v>
      </c>
      <c r="AC13" s="28">
        <v>-1.8</v>
      </c>
      <c r="AD13" s="28">
        <v>1E-4</v>
      </c>
      <c r="AE13" s="28">
        <v>-0.02</v>
      </c>
    </row>
    <row r="14" spans="1:31" x14ac:dyDescent="0.25">
      <c r="A14" s="28">
        <v>0.99</v>
      </c>
      <c r="B14" s="28">
        <v>1E-4</v>
      </c>
      <c r="C14" s="28">
        <v>-1.67</v>
      </c>
      <c r="D14" s="28">
        <v>1.1100000000000001</v>
      </c>
      <c r="E14" s="28">
        <v>0.33400000000000002</v>
      </c>
      <c r="F14" s="28">
        <v>51</v>
      </c>
      <c r="G14" s="28">
        <v>13</v>
      </c>
      <c r="H14" s="28">
        <v>68</v>
      </c>
      <c r="I14" s="28">
        <v>15.94</v>
      </c>
      <c r="J14" s="28">
        <v>996.25</v>
      </c>
      <c r="K14" s="28">
        <v>6</v>
      </c>
      <c r="L14" s="28" t="s">
        <v>22</v>
      </c>
      <c r="M14" s="28">
        <v>970.75</v>
      </c>
      <c r="N14" s="28">
        <v>1078.5999999999999</v>
      </c>
      <c r="O14" s="28" t="s">
        <v>22</v>
      </c>
      <c r="P14" s="29">
        <v>24450</v>
      </c>
      <c r="Q14" s="28" t="s">
        <v>22</v>
      </c>
      <c r="R14" s="28">
        <v>2.65</v>
      </c>
      <c r="S14" s="28">
        <v>2.85</v>
      </c>
      <c r="T14" s="28" t="s">
        <v>22</v>
      </c>
      <c r="U14" s="28">
        <v>-51.46</v>
      </c>
      <c r="V14" s="28">
        <v>2.5</v>
      </c>
      <c r="W14" s="28">
        <v>15.94</v>
      </c>
      <c r="X14" s="28">
        <v>130303</v>
      </c>
      <c r="Y14" s="28">
        <v>571</v>
      </c>
      <c r="Z14" s="28">
        <v>12710</v>
      </c>
      <c r="AA14" s="28">
        <v>-5.0000000000000001E-3</v>
      </c>
      <c r="AB14" s="28">
        <v>1.1100000000000001</v>
      </c>
      <c r="AC14" s="28">
        <v>-1.67</v>
      </c>
      <c r="AD14" s="28">
        <v>1E-4</v>
      </c>
      <c r="AE14" s="28">
        <v>-0.01</v>
      </c>
    </row>
    <row r="15" spans="1:31" x14ac:dyDescent="0.25">
      <c r="A15" s="28">
        <v>0.98</v>
      </c>
      <c r="B15" s="28">
        <v>1E-4</v>
      </c>
      <c r="C15" s="28">
        <v>-1.93</v>
      </c>
      <c r="D15" s="28">
        <v>1.31</v>
      </c>
      <c r="E15" s="28">
        <v>0.317</v>
      </c>
      <c r="F15" s="28">
        <v>1996</v>
      </c>
      <c r="G15" s="28">
        <v>-473</v>
      </c>
      <c r="H15" s="28">
        <v>3142</v>
      </c>
      <c r="I15" s="28">
        <v>15.69</v>
      </c>
      <c r="J15" s="28">
        <v>970</v>
      </c>
      <c r="K15" s="28">
        <v>9.2200000000000006</v>
      </c>
      <c r="L15" s="28" t="s">
        <v>22</v>
      </c>
      <c r="M15" s="28">
        <v>967.15</v>
      </c>
      <c r="N15" s="28">
        <v>974.7</v>
      </c>
      <c r="O15" s="28" t="s">
        <v>22</v>
      </c>
      <c r="P15" s="29">
        <v>24500</v>
      </c>
      <c r="Q15" s="28" t="s">
        <v>22</v>
      </c>
      <c r="R15" s="28">
        <v>3</v>
      </c>
      <c r="S15" s="28">
        <v>3.05</v>
      </c>
      <c r="T15" s="28" t="s">
        <v>22</v>
      </c>
      <c r="U15" s="28">
        <v>-45.05</v>
      </c>
      <c r="V15" s="28">
        <v>3.05</v>
      </c>
      <c r="W15" s="28">
        <v>15.69</v>
      </c>
      <c r="X15" s="28">
        <v>679477</v>
      </c>
      <c r="Y15" s="28">
        <v>14295</v>
      </c>
      <c r="Z15" s="28">
        <v>98170</v>
      </c>
      <c r="AA15" s="28">
        <v>-6.0000000000000001E-3</v>
      </c>
      <c r="AB15" s="28">
        <v>1.31</v>
      </c>
      <c r="AC15" s="28">
        <v>-1.93</v>
      </c>
      <c r="AD15" s="28">
        <v>1E-4</v>
      </c>
      <c r="AE15" s="28">
        <v>-0.02</v>
      </c>
    </row>
    <row r="16" spans="1:31" x14ac:dyDescent="0.25">
      <c r="A16" s="28">
        <v>0.98</v>
      </c>
      <c r="B16" s="28">
        <v>1E-4</v>
      </c>
      <c r="C16" s="28">
        <v>-1.96</v>
      </c>
      <c r="D16" s="28">
        <v>1.39</v>
      </c>
      <c r="E16" s="28">
        <v>0.317</v>
      </c>
      <c r="F16" s="28">
        <v>151</v>
      </c>
      <c r="G16" s="28">
        <v>-4</v>
      </c>
      <c r="H16" s="28">
        <v>65</v>
      </c>
      <c r="I16" s="28">
        <v>15.05</v>
      </c>
      <c r="J16" s="28">
        <v>920</v>
      </c>
      <c r="K16" s="28">
        <v>9.42</v>
      </c>
      <c r="L16" s="28" t="s">
        <v>22</v>
      </c>
      <c r="M16" s="28">
        <v>871.45</v>
      </c>
      <c r="N16" s="28">
        <v>978.6</v>
      </c>
      <c r="O16" s="28" t="s">
        <v>22</v>
      </c>
      <c r="P16" s="29">
        <v>24550</v>
      </c>
      <c r="Q16" s="28" t="s">
        <v>22</v>
      </c>
      <c r="R16" s="28">
        <v>3.05</v>
      </c>
      <c r="S16" s="28">
        <v>3.15</v>
      </c>
      <c r="T16" s="28" t="s">
        <v>22</v>
      </c>
      <c r="U16" s="28">
        <v>-46.15</v>
      </c>
      <c r="V16" s="28">
        <v>3.15</v>
      </c>
      <c r="W16" s="28">
        <v>15.05</v>
      </c>
      <c r="X16" s="28">
        <v>190046</v>
      </c>
      <c r="Y16" s="28">
        <v>893</v>
      </c>
      <c r="Z16" s="28">
        <v>12641</v>
      </c>
      <c r="AA16" s="28">
        <v>-7.0000000000000001E-3</v>
      </c>
      <c r="AB16" s="28">
        <v>1.39</v>
      </c>
      <c r="AC16" s="28">
        <v>-1.96</v>
      </c>
      <c r="AD16" s="28">
        <v>1E-4</v>
      </c>
      <c r="AE16" s="28">
        <v>-0.02</v>
      </c>
    </row>
    <row r="17" spans="1:31" x14ac:dyDescent="0.25">
      <c r="A17" s="28">
        <v>0.98</v>
      </c>
      <c r="B17" s="28">
        <v>1E-4</v>
      </c>
      <c r="C17" s="28">
        <v>-2</v>
      </c>
      <c r="D17" s="28">
        <v>1.48</v>
      </c>
      <c r="E17" s="28">
        <v>0.312</v>
      </c>
      <c r="F17" s="28">
        <v>1140</v>
      </c>
      <c r="G17" s="28">
        <v>-221</v>
      </c>
      <c r="H17" s="28">
        <v>701</v>
      </c>
      <c r="I17" s="28">
        <v>14.43</v>
      </c>
      <c r="J17" s="28">
        <v>875.5</v>
      </c>
      <c r="K17" s="28">
        <v>10.86</v>
      </c>
      <c r="L17" s="28" t="s">
        <v>22</v>
      </c>
      <c r="M17" s="28">
        <v>866.95</v>
      </c>
      <c r="N17" s="28">
        <v>873.25</v>
      </c>
      <c r="O17" s="28" t="s">
        <v>22</v>
      </c>
      <c r="P17" s="29">
        <v>24600</v>
      </c>
      <c r="Q17" s="28" t="s">
        <v>22</v>
      </c>
      <c r="R17" s="28">
        <v>3.15</v>
      </c>
      <c r="S17" s="28">
        <v>3.3</v>
      </c>
      <c r="T17" s="28" t="s">
        <v>22</v>
      </c>
      <c r="U17" s="28">
        <v>-47.2</v>
      </c>
      <c r="V17" s="28">
        <v>3.3</v>
      </c>
      <c r="W17" s="28">
        <v>14.43</v>
      </c>
      <c r="X17" s="28">
        <v>491211</v>
      </c>
      <c r="Y17" s="28">
        <v>13247</v>
      </c>
      <c r="Z17" s="28">
        <v>53196</v>
      </c>
      <c r="AA17" s="28">
        <v>-7.0000000000000001E-3</v>
      </c>
      <c r="AB17" s="28">
        <v>1.48</v>
      </c>
      <c r="AC17" s="28">
        <v>-2</v>
      </c>
      <c r="AD17" s="28">
        <v>1E-4</v>
      </c>
      <c r="AE17" s="28">
        <v>-0.02</v>
      </c>
    </row>
    <row r="18" spans="1:31" x14ac:dyDescent="0.25">
      <c r="A18" s="28">
        <v>0.98</v>
      </c>
      <c r="B18" s="28">
        <v>1E-4</v>
      </c>
      <c r="C18" s="28">
        <v>-2.0099999999999998</v>
      </c>
      <c r="D18" s="28">
        <v>1.57</v>
      </c>
      <c r="E18" s="28">
        <v>0.317</v>
      </c>
      <c r="F18" s="28">
        <v>181</v>
      </c>
      <c r="G18" s="28">
        <v>2</v>
      </c>
      <c r="H18" s="28">
        <v>96</v>
      </c>
      <c r="I18" s="28">
        <v>13.77</v>
      </c>
      <c r="J18" s="28">
        <v>820.2</v>
      </c>
      <c r="K18" s="28">
        <v>10.7</v>
      </c>
      <c r="L18" s="28" t="s">
        <v>22</v>
      </c>
      <c r="M18" s="28">
        <v>817.6</v>
      </c>
      <c r="N18" s="28">
        <v>823.55</v>
      </c>
      <c r="O18" s="28" t="s">
        <v>22</v>
      </c>
      <c r="P18" s="29">
        <v>24650</v>
      </c>
      <c r="Q18" s="28" t="s">
        <v>22</v>
      </c>
      <c r="R18" s="28">
        <v>3.25</v>
      </c>
      <c r="S18" s="28">
        <v>3.4</v>
      </c>
      <c r="T18" s="28" t="s">
        <v>22</v>
      </c>
      <c r="U18" s="28">
        <v>-50</v>
      </c>
      <c r="V18" s="28">
        <v>3.4</v>
      </c>
      <c r="W18" s="28">
        <v>13.77</v>
      </c>
      <c r="X18" s="28">
        <v>198522</v>
      </c>
      <c r="Y18" s="28">
        <v>4467</v>
      </c>
      <c r="Z18" s="28">
        <v>14353</v>
      </c>
      <c r="AA18" s="28">
        <v>-8.0000000000000002E-3</v>
      </c>
      <c r="AB18" s="28">
        <v>1.57</v>
      </c>
      <c r="AC18" s="28">
        <v>-2.0099999999999998</v>
      </c>
      <c r="AD18" s="28">
        <v>1E-4</v>
      </c>
      <c r="AE18" s="28">
        <v>-0.02</v>
      </c>
    </row>
    <row r="19" spans="1:31" x14ac:dyDescent="0.25">
      <c r="A19" s="28">
        <v>0.98</v>
      </c>
      <c r="B19" s="28">
        <v>1E-4</v>
      </c>
      <c r="C19" s="28">
        <v>-2.06</v>
      </c>
      <c r="D19" s="28">
        <v>1.7</v>
      </c>
      <c r="E19" s="28">
        <v>0.317</v>
      </c>
      <c r="F19" s="28">
        <v>1843</v>
      </c>
      <c r="G19" s="28">
        <v>-368</v>
      </c>
      <c r="H19" s="28">
        <v>1135</v>
      </c>
      <c r="I19" s="28">
        <v>13.15</v>
      </c>
      <c r="J19" s="28">
        <v>770.65</v>
      </c>
      <c r="K19" s="28">
        <v>11.49</v>
      </c>
      <c r="L19" s="28" t="s">
        <v>22</v>
      </c>
      <c r="M19" s="28">
        <v>770</v>
      </c>
      <c r="N19" s="28">
        <v>772.75</v>
      </c>
      <c r="O19" s="28" t="s">
        <v>22</v>
      </c>
      <c r="P19" s="29">
        <v>24700</v>
      </c>
      <c r="Q19" s="28" t="s">
        <v>22</v>
      </c>
      <c r="R19" s="28">
        <v>3.5</v>
      </c>
      <c r="S19" s="28">
        <v>3.55</v>
      </c>
      <c r="T19" s="28" t="s">
        <v>22</v>
      </c>
      <c r="U19" s="28">
        <v>-51.35</v>
      </c>
      <c r="V19" s="28">
        <v>3.6</v>
      </c>
      <c r="W19" s="28">
        <v>13.15</v>
      </c>
      <c r="X19" s="28">
        <v>585074</v>
      </c>
      <c r="Y19" s="28">
        <v>35159</v>
      </c>
      <c r="Z19" s="28">
        <v>76398</v>
      </c>
      <c r="AA19" s="28">
        <v>-8.9999999999999993E-3</v>
      </c>
      <c r="AB19" s="28">
        <v>1.7</v>
      </c>
      <c r="AC19" s="28">
        <v>-2.06</v>
      </c>
      <c r="AD19" s="28">
        <v>1E-4</v>
      </c>
      <c r="AE19" s="28">
        <v>-0.02</v>
      </c>
    </row>
    <row r="20" spans="1:31" x14ac:dyDescent="0.25">
      <c r="A20" s="28">
        <v>0.97</v>
      </c>
      <c r="B20" s="28">
        <v>2.0000000000000001E-4</v>
      </c>
      <c r="C20" s="28">
        <v>-2.11</v>
      </c>
      <c r="D20" s="28">
        <v>1.83</v>
      </c>
      <c r="E20" s="28">
        <v>0.312</v>
      </c>
      <c r="F20" s="28">
        <v>411</v>
      </c>
      <c r="G20" s="28">
        <v>-24</v>
      </c>
      <c r="H20" s="28">
        <v>194</v>
      </c>
      <c r="I20" s="28">
        <v>12.52</v>
      </c>
      <c r="J20" s="28">
        <v>725.05</v>
      </c>
      <c r="K20" s="28">
        <v>12.86</v>
      </c>
      <c r="L20" s="28" t="s">
        <v>22</v>
      </c>
      <c r="M20" s="28">
        <v>718.05</v>
      </c>
      <c r="N20" s="28">
        <v>722.8</v>
      </c>
      <c r="O20" s="28" t="s">
        <v>22</v>
      </c>
      <c r="P20" s="29">
        <v>24750</v>
      </c>
      <c r="Q20" s="28" t="s">
        <v>22</v>
      </c>
      <c r="R20" s="28">
        <v>3.7</v>
      </c>
      <c r="S20" s="28">
        <v>3.8</v>
      </c>
      <c r="T20" s="28" t="s">
        <v>22</v>
      </c>
      <c r="U20" s="28">
        <v>-54.49</v>
      </c>
      <c r="V20" s="28">
        <v>3.8</v>
      </c>
      <c r="W20" s="28">
        <v>12.52</v>
      </c>
      <c r="X20" s="28">
        <v>185699</v>
      </c>
      <c r="Y20" s="28">
        <v>9591</v>
      </c>
      <c r="Z20" s="28">
        <v>21343</v>
      </c>
      <c r="AA20" s="28">
        <v>-8.9999999999999993E-3</v>
      </c>
      <c r="AB20" s="28">
        <v>1.83</v>
      </c>
      <c r="AC20" s="28">
        <v>-2.11</v>
      </c>
      <c r="AD20" s="28">
        <v>2.0000000000000001E-4</v>
      </c>
      <c r="AE20" s="28">
        <v>-0.03</v>
      </c>
    </row>
    <row r="21" spans="1:31" x14ac:dyDescent="0.25">
      <c r="A21" s="28">
        <v>0.97</v>
      </c>
      <c r="B21" s="28">
        <v>2.0000000000000001E-4</v>
      </c>
      <c r="C21" s="28">
        <v>-2.1</v>
      </c>
      <c r="D21" s="28">
        <v>1.95</v>
      </c>
      <c r="E21" s="28">
        <v>0.316</v>
      </c>
      <c r="F21" s="28">
        <v>2528</v>
      </c>
      <c r="G21" s="28">
        <v>-660</v>
      </c>
      <c r="H21" s="28">
        <v>2813</v>
      </c>
      <c r="I21" s="28">
        <v>11.82</v>
      </c>
      <c r="J21" s="28">
        <v>671</v>
      </c>
      <c r="K21" s="28">
        <v>13.08</v>
      </c>
      <c r="L21" s="28" t="s">
        <v>22</v>
      </c>
      <c r="M21" s="28">
        <v>668.55</v>
      </c>
      <c r="N21" s="28">
        <v>673</v>
      </c>
      <c r="O21" s="28" t="s">
        <v>22</v>
      </c>
      <c r="P21" s="29">
        <v>24800</v>
      </c>
      <c r="Q21" s="28" t="s">
        <v>22</v>
      </c>
      <c r="R21" s="28">
        <v>3.85</v>
      </c>
      <c r="S21" s="28">
        <v>4</v>
      </c>
      <c r="T21" s="28" t="s">
        <v>22</v>
      </c>
      <c r="U21" s="28">
        <v>-58.29</v>
      </c>
      <c r="V21" s="28">
        <v>3.9</v>
      </c>
      <c r="W21" s="28">
        <v>11.82</v>
      </c>
      <c r="X21" s="28">
        <v>474349</v>
      </c>
      <c r="Y21" s="28">
        <v>14356</v>
      </c>
      <c r="Z21" s="28">
        <v>65239</v>
      </c>
      <c r="AA21" s="28">
        <v>-0.01</v>
      </c>
      <c r="AB21" s="28">
        <v>1.95</v>
      </c>
      <c r="AC21" s="28">
        <v>-2.1</v>
      </c>
      <c r="AD21" s="28">
        <v>2.0000000000000001E-4</v>
      </c>
      <c r="AE21" s="28">
        <v>-0.03</v>
      </c>
    </row>
    <row r="22" spans="1:31" x14ac:dyDescent="0.25">
      <c r="A22" s="28">
        <v>0.97</v>
      </c>
      <c r="B22" s="28">
        <v>2.0000000000000001E-4</v>
      </c>
      <c r="C22" s="28">
        <v>-2.25</v>
      </c>
      <c r="D22" s="28">
        <v>2.2000000000000002</v>
      </c>
      <c r="E22" s="28">
        <v>0.311</v>
      </c>
      <c r="F22" s="28">
        <v>614</v>
      </c>
      <c r="G22" s="28">
        <v>-150</v>
      </c>
      <c r="H22" s="28">
        <v>691</v>
      </c>
      <c r="I22" s="28">
        <v>11.3</v>
      </c>
      <c r="J22" s="28">
        <v>624.65</v>
      </c>
      <c r="K22" s="28">
        <v>14.56</v>
      </c>
      <c r="L22" s="28" t="s">
        <v>22</v>
      </c>
      <c r="M22" s="28">
        <v>617.70000000000005</v>
      </c>
      <c r="N22" s="28">
        <v>625.1</v>
      </c>
      <c r="O22" s="28" t="s">
        <v>22</v>
      </c>
      <c r="P22" s="29">
        <v>24850</v>
      </c>
      <c r="Q22" s="28" t="s">
        <v>22</v>
      </c>
      <c r="R22" s="28">
        <v>4.25</v>
      </c>
      <c r="S22" s="28">
        <v>4.4000000000000004</v>
      </c>
      <c r="T22" s="28" t="s">
        <v>22</v>
      </c>
      <c r="U22" s="28">
        <v>-59.26</v>
      </c>
      <c r="V22" s="28">
        <v>4.4000000000000004</v>
      </c>
      <c r="W22" s="28">
        <v>11.3</v>
      </c>
      <c r="X22" s="28">
        <v>201489</v>
      </c>
      <c r="Y22" s="28">
        <v>3276</v>
      </c>
      <c r="Z22" s="28">
        <v>20230</v>
      </c>
      <c r="AA22" s="28">
        <v>-1.2E-2</v>
      </c>
      <c r="AB22" s="28">
        <v>2.2000000000000002</v>
      </c>
      <c r="AC22" s="28">
        <v>-2.25</v>
      </c>
      <c r="AD22" s="28">
        <v>2.0000000000000001E-4</v>
      </c>
      <c r="AE22" s="28">
        <v>-0.03</v>
      </c>
    </row>
    <row r="23" spans="1:31" x14ac:dyDescent="0.25">
      <c r="A23" s="28">
        <v>0.96</v>
      </c>
      <c r="B23" s="28">
        <v>2.9999999999999997E-4</v>
      </c>
      <c r="C23" s="28">
        <v>-2.36</v>
      </c>
      <c r="D23" s="28">
        <v>2.4500000000000002</v>
      </c>
      <c r="E23" s="28">
        <v>0.31</v>
      </c>
      <c r="F23" s="28">
        <v>3488</v>
      </c>
      <c r="G23" s="28">
        <v>-597</v>
      </c>
      <c r="H23" s="28">
        <v>3054</v>
      </c>
      <c r="I23" s="28">
        <v>10.71</v>
      </c>
      <c r="J23" s="28">
        <v>575</v>
      </c>
      <c r="K23" s="28">
        <v>15.43</v>
      </c>
      <c r="L23" s="28" t="s">
        <v>22</v>
      </c>
      <c r="M23" s="28">
        <v>570</v>
      </c>
      <c r="N23" s="28">
        <v>574.95000000000005</v>
      </c>
      <c r="O23" s="28" t="s">
        <v>22</v>
      </c>
      <c r="P23" s="29">
        <v>24900</v>
      </c>
      <c r="Q23" s="28" t="s">
        <v>22</v>
      </c>
      <c r="R23" s="28">
        <v>4.75</v>
      </c>
      <c r="S23" s="28">
        <v>4.8499999999999996</v>
      </c>
      <c r="T23" s="28" t="s">
        <v>22</v>
      </c>
      <c r="U23" s="28">
        <v>-61.35</v>
      </c>
      <c r="V23" s="28">
        <v>4.8499999999999996</v>
      </c>
      <c r="W23" s="28">
        <v>10.71</v>
      </c>
      <c r="X23" s="28">
        <v>415827</v>
      </c>
      <c r="Y23" s="28">
        <v>20241</v>
      </c>
      <c r="Z23" s="28">
        <v>59202</v>
      </c>
      <c r="AA23" s="28">
        <v>-1.2999999999999999E-2</v>
      </c>
      <c r="AB23" s="28">
        <v>2.4500000000000002</v>
      </c>
      <c r="AC23" s="28">
        <v>-2.36</v>
      </c>
      <c r="AD23" s="28">
        <v>2.9999999999999997E-4</v>
      </c>
      <c r="AE23" s="28">
        <v>-0.04</v>
      </c>
    </row>
    <row r="24" spans="1:31" x14ac:dyDescent="0.25">
      <c r="A24" s="28">
        <v>0.96</v>
      </c>
      <c r="B24" s="28">
        <v>2.9999999999999997E-4</v>
      </c>
      <c r="C24" s="28">
        <v>-2.5499999999999998</v>
      </c>
      <c r="D24" s="28">
        <v>2.81</v>
      </c>
      <c r="E24" s="28">
        <v>0.311</v>
      </c>
      <c r="F24" s="28">
        <v>916</v>
      </c>
      <c r="G24" s="28">
        <v>-283</v>
      </c>
      <c r="H24" s="28">
        <v>1813</v>
      </c>
      <c r="I24" s="28">
        <v>10.19</v>
      </c>
      <c r="J24" s="28">
        <v>522.5</v>
      </c>
      <c r="K24" s="28">
        <v>16.21</v>
      </c>
      <c r="L24" s="28" t="s">
        <v>22</v>
      </c>
      <c r="M24" s="28">
        <v>520.15</v>
      </c>
      <c r="N24" s="28">
        <v>525.15</v>
      </c>
      <c r="O24" s="28" t="s">
        <v>22</v>
      </c>
      <c r="P24" s="29">
        <v>24950</v>
      </c>
      <c r="Q24" s="28" t="s">
        <v>22</v>
      </c>
      <c r="R24" s="28">
        <v>5.45</v>
      </c>
      <c r="S24" s="28">
        <v>5.6</v>
      </c>
      <c r="T24" s="28" t="s">
        <v>22</v>
      </c>
      <c r="U24" s="28">
        <v>-62.67</v>
      </c>
      <c r="V24" s="28">
        <v>5.6</v>
      </c>
      <c r="W24" s="28">
        <v>10.19</v>
      </c>
      <c r="X24" s="28">
        <v>273085</v>
      </c>
      <c r="Y24" s="28">
        <v>14297</v>
      </c>
      <c r="Z24" s="28">
        <v>33193</v>
      </c>
      <c r="AA24" s="28">
        <v>-1.6E-2</v>
      </c>
      <c r="AB24" s="28">
        <v>2.81</v>
      </c>
      <c r="AC24" s="28">
        <v>-2.5499999999999998</v>
      </c>
      <c r="AD24" s="28">
        <v>2.9999999999999997E-4</v>
      </c>
      <c r="AE24" s="28">
        <v>-0.04</v>
      </c>
    </row>
    <row r="25" spans="1:31" x14ac:dyDescent="0.25">
      <c r="A25" s="28">
        <v>0.95</v>
      </c>
      <c r="B25" s="28">
        <v>4.0000000000000002E-4</v>
      </c>
      <c r="C25" s="28">
        <v>-2.78</v>
      </c>
      <c r="D25" s="28">
        <v>3.26</v>
      </c>
      <c r="E25" s="28">
        <v>0.309</v>
      </c>
      <c r="F25" s="28">
        <v>21269</v>
      </c>
      <c r="G25" s="28">
        <v>-1900</v>
      </c>
      <c r="H25" s="28">
        <v>31283</v>
      </c>
      <c r="I25" s="28">
        <v>9.69</v>
      </c>
      <c r="J25" s="28">
        <v>473.75</v>
      </c>
      <c r="K25" s="28">
        <v>17.82</v>
      </c>
      <c r="L25" s="28" t="s">
        <v>22</v>
      </c>
      <c r="M25" s="28">
        <v>472.6</v>
      </c>
      <c r="N25" s="28">
        <v>474.15</v>
      </c>
      <c r="O25" s="28" t="s">
        <v>22</v>
      </c>
      <c r="P25" s="29">
        <v>25000</v>
      </c>
      <c r="Q25" s="28" t="s">
        <v>22</v>
      </c>
      <c r="R25" s="28">
        <v>6.6</v>
      </c>
      <c r="S25" s="28">
        <v>6.65</v>
      </c>
      <c r="T25" s="28" t="s">
        <v>22</v>
      </c>
      <c r="U25" s="28">
        <v>-63.74</v>
      </c>
      <c r="V25" s="28">
        <v>6.6</v>
      </c>
      <c r="W25" s="28">
        <v>9.69</v>
      </c>
      <c r="X25" s="28">
        <v>899355</v>
      </c>
      <c r="Y25" s="28">
        <v>54538</v>
      </c>
      <c r="Z25" s="28">
        <v>137463</v>
      </c>
      <c r="AA25" s="28">
        <v>-1.9E-2</v>
      </c>
      <c r="AB25" s="28">
        <v>3.26</v>
      </c>
      <c r="AC25" s="28">
        <v>-2.78</v>
      </c>
      <c r="AD25" s="28">
        <v>4.0000000000000002E-4</v>
      </c>
      <c r="AE25" s="28">
        <v>-0.05</v>
      </c>
    </row>
    <row r="26" spans="1:31" x14ac:dyDescent="0.25">
      <c r="A26" s="28">
        <v>0.94</v>
      </c>
      <c r="B26" s="28">
        <v>5.0000000000000001E-4</v>
      </c>
      <c r="C26" s="28">
        <v>-2.98</v>
      </c>
      <c r="D26" s="28">
        <v>3.76</v>
      </c>
      <c r="E26" s="28">
        <v>0.30499999999999999</v>
      </c>
      <c r="F26" s="28">
        <v>1995</v>
      </c>
      <c r="G26" s="28">
        <v>-858</v>
      </c>
      <c r="H26" s="28">
        <v>8435</v>
      </c>
      <c r="I26" s="28">
        <v>9.14</v>
      </c>
      <c r="J26" s="28">
        <v>425.3</v>
      </c>
      <c r="K26" s="28">
        <v>19.32</v>
      </c>
      <c r="L26" s="28" t="s">
        <v>22</v>
      </c>
      <c r="M26" s="28">
        <v>423.4</v>
      </c>
      <c r="N26" s="28">
        <v>427.1</v>
      </c>
      <c r="O26" s="28" t="s">
        <v>22</v>
      </c>
      <c r="P26" s="29">
        <v>25050</v>
      </c>
      <c r="Q26" s="28" t="s">
        <v>22</v>
      </c>
      <c r="R26" s="28">
        <v>7.65</v>
      </c>
      <c r="S26" s="28">
        <v>7.7</v>
      </c>
      <c r="T26" s="28" t="s">
        <v>22</v>
      </c>
      <c r="U26" s="28">
        <v>-65.319999999999993</v>
      </c>
      <c r="V26" s="28">
        <v>7.7</v>
      </c>
      <c r="W26" s="28">
        <v>9.14</v>
      </c>
      <c r="X26" s="28">
        <v>424562</v>
      </c>
      <c r="Y26" s="28">
        <v>9683</v>
      </c>
      <c r="Z26" s="28">
        <v>36714</v>
      </c>
      <c r="AA26" s="28">
        <v>-2.3E-2</v>
      </c>
      <c r="AB26" s="28">
        <v>3.76</v>
      </c>
      <c r="AC26" s="28">
        <v>-2.98</v>
      </c>
      <c r="AD26" s="28">
        <v>5.0000000000000001E-4</v>
      </c>
      <c r="AE26" s="28">
        <v>-0.06</v>
      </c>
    </row>
    <row r="27" spans="1:31" x14ac:dyDescent="0.25">
      <c r="A27" s="28">
        <v>0.92</v>
      </c>
      <c r="B27" s="28">
        <v>5.9999999999999995E-4</v>
      </c>
      <c r="C27" s="28">
        <v>-3.22</v>
      </c>
      <c r="D27" s="28">
        <v>4.38</v>
      </c>
      <c r="E27" s="28">
        <v>0.30399999999999999</v>
      </c>
      <c r="F27" s="28">
        <v>10137</v>
      </c>
      <c r="G27" s="28">
        <v>-3800</v>
      </c>
      <c r="H27" s="28">
        <v>45486</v>
      </c>
      <c r="I27" s="28">
        <v>8.61</v>
      </c>
      <c r="J27" s="28">
        <v>374.65</v>
      </c>
      <c r="K27" s="28">
        <v>20.23</v>
      </c>
      <c r="L27" s="28" t="s">
        <v>22</v>
      </c>
      <c r="M27" s="28">
        <v>375.9</v>
      </c>
      <c r="N27" s="28">
        <v>377.9</v>
      </c>
      <c r="O27" s="28" t="s">
        <v>22</v>
      </c>
      <c r="P27" s="29">
        <v>25100</v>
      </c>
      <c r="Q27" s="28" t="s">
        <v>22</v>
      </c>
      <c r="R27" s="28">
        <v>9.25</v>
      </c>
      <c r="S27" s="28">
        <v>9.35</v>
      </c>
      <c r="T27" s="28" t="s">
        <v>22</v>
      </c>
      <c r="U27" s="28">
        <v>-66.790000000000006</v>
      </c>
      <c r="V27" s="28">
        <v>9.1999999999999993</v>
      </c>
      <c r="W27" s="28">
        <v>8.61</v>
      </c>
      <c r="X27" s="28">
        <v>802168</v>
      </c>
      <c r="Y27" s="28">
        <v>2638</v>
      </c>
      <c r="Z27" s="28">
        <v>64308</v>
      </c>
      <c r="AA27" s="28">
        <v>-2.8000000000000001E-2</v>
      </c>
      <c r="AB27" s="28">
        <v>4.38</v>
      </c>
      <c r="AC27" s="28">
        <v>-3.22</v>
      </c>
      <c r="AD27" s="28">
        <v>5.9999999999999995E-4</v>
      </c>
      <c r="AE27" s="28">
        <v>-0.08</v>
      </c>
    </row>
    <row r="28" spans="1:31" x14ac:dyDescent="0.25">
      <c r="A28" s="28">
        <v>0.9</v>
      </c>
      <c r="B28" s="28">
        <v>6.9999999999999999E-4</v>
      </c>
      <c r="C28" s="28">
        <v>-3.57</v>
      </c>
      <c r="D28" s="28">
        <v>5.23</v>
      </c>
      <c r="E28" s="28">
        <v>0.29699999999999999</v>
      </c>
      <c r="F28" s="28">
        <v>5464</v>
      </c>
      <c r="G28" s="28">
        <v>-1727</v>
      </c>
      <c r="H28" s="28">
        <v>29703</v>
      </c>
      <c r="I28" s="28">
        <v>8.17</v>
      </c>
      <c r="J28" s="28">
        <v>327.35000000000002</v>
      </c>
      <c r="K28" s="28">
        <v>21.78</v>
      </c>
      <c r="L28" s="28" t="s">
        <v>22</v>
      </c>
      <c r="M28" s="28">
        <v>327.5</v>
      </c>
      <c r="N28" s="28">
        <v>329.9</v>
      </c>
      <c r="O28" s="28" t="s">
        <v>22</v>
      </c>
      <c r="P28" s="29">
        <v>25150</v>
      </c>
      <c r="Q28" s="28" t="s">
        <v>22</v>
      </c>
      <c r="R28" s="28">
        <v>11.6</v>
      </c>
      <c r="S28" s="28">
        <v>11.7</v>
      </c>
      <c r="T28" s="28" t="s">
        <v>22</v>
      </c>
      <c r="U28" s="28">
        <v>-66.62</v>
      </c>
      <c r="V28" s="28">
        <v>11.6</v>
      </c>
      <c r="W28" s="28">
        <v>8.17</v>
      </c>
      <c r="X28" s="28">
        <v>733360</v>
      </c>
      <c r="Y28" s="28">
        <v>2739</v>
      </c>
      <c r="Z28" s="28">
        <v>37834</v>
      </c>
      <c r="AA28" s="28">
        <v>-3.5000000000000003E-2</v>
      </c>
      <c r="AB28" s="28">
        <v>5.23</v>
      </c>
      <c r="AC28" s="28">
        <v>-3.57</v>
      </c>
      <c r="AD28" s="28">
        <v>6.9999999999999999E-4</v>
      </c>
      <c r="AE28" s="28">
        <v>-0.1</v>
      </c>
    </row>
    <row r="29" spans="1:31" x14ac:dyDescent="0.25">
      <c r="A29" s="28">
        <v>0.87</v>
      </c>
      <c r="B29" s="28">
        <v>8.9999999999999998E-4</v>
      </c>
      <c r="C29" s="28">
        <v>-3.94</v>
      </c>
      <c r="D29" s="28">
        <v>6.26</v>
      </c>
      <c r="E29" s="28">
        <v>0.28499999999999998</v>
      </c>
      <c r="F29" s="28">
        <v>34348</v>
      </c>
      <c r="G29" s="28">
        <v>-6929</v>
      </c>
      <c r="H29" s="28">
        <v>226864</v>
      </c>
      <c r="I29" s="28">
        <v>7.74</v>
      </c>
      <c r="J29" s="28">
        <v>283.10000000000002</v>
      </c>
      <c r="K29" s="28">
        <v>24</v>
      </c>
      <c r="L29" s="28" t="s">
        <v>22</v>
      </c>
      <c r="M29" s="28">
        <v>281.85000000000002</v>
      </c>
      <c r="N29" s="28">
        <v>283.8</v>
      </c>
      <c r="O29" s="28" t="s">
        <v>22</v>
      </c>
      <c r="P29" s="29">
        <v>25200</v>
      </c>
      <c r="Q29" s="28" t="s">
        <v>22</v>
      </c>
      <c r="R29" s="28">
        <v>14.85</v>
      </c>
      <c r="S29" s="28">
        <v>15</v>
      </c>
      <c r="T29" s="28" t="s">
        <v>22</v>
      </c>
      <c r="U29" s="28">
        <v>-66.14</v>
      </c>
      <c r="V29" s="28">
        <v>14.9</v>
      </c>
      <c r="W29" s="28">
        <v>7.74</v>
      </c>
      <c r="X29" s="28">
        <v>1463335</v>
      </c>
      <c r="Y29" s="28">
        <v>12556</v>
      </c>
      <c r="Z29" s="28">
        <v>114080</v>
      </c>
      <c r="AA29" s="28">
        <v>-4.4999999999999998E-2</v>
      </c>
      <c r="AB29" s="28">
        <v>6.26</v>
      </c>
      <c r="AC29" s="28">
        <v>-3.94</v>
      </c>
      <c r="AD29" s="28">
        <v>8.9999999999999998E-4</v>
      </c>
      <c r="AE29" s="28">
        <v>-0.13</v>
      </c>
    </row>
    <row r="30" spans="1:31" x14ac:dyDescent="0.25">
      <c r="A30" s="28">
        <v>0.83</v>
      </c>
      <c r="B30" s="28">
        <v>1.1999999999999999E-3</v>
      </c>
      <c r="C30" s="28">
        <v>-4.32</v>
      </c>
      <c r="D30" s="28">
        <v>7.48</v>
      </c>
      <c r="E30" s="28">
        <v>0.27500000000000002</v>
      </c>
      <c r="F30" s="28">
        <v>11804</v>
      </c>
      <c r="G30" s="28">
        <v>-6547</v>
      </c>
      <c r="H30" s="28">
        <v>183808</v>
      </c>
      <c r="I30" s="28">
        <v>7.35</v>
      </c>
      <c r="J30" s="28">
        <v>236.6</v>
      </c>
      <c r="K30" s="28">
        <v>24.43</v>
      </c>
      <c r="L30" s="28" t="s">
        <v>22</v>
      </c>
      <c r="M30" s="28">
        <v>236.75</v>
      </c>
      <c r="N30" s="28">
        <v>238.4</v>
      </c>
      <c r="O30" s="28" t="s">
        <v>22</v>
      </c>
      <c r="P30" s="29">
        <v>25250</v>
      </c>
      <c r="Q30" s="28" t="s">
        <v>22</v>
      </c>
      <c r="R30" s="28">
        <v>19.7</v>
      </c>
      <c r="S30" s="28">
        <v>19.8</v>
      </c>
      <c r="T30" s="28" t="s">
        <v>22</v>
      </c>
      <c r="U30" s="28">
        <v>-64.41</v>
      </c>
      <c r="V30" s="28">
        <v>19.7</v>
      </c>
      <c r="W30" s="28">
        <v>7.35</v>
      </c>
      <c r="X30" s="28">
        <v>1089446</v>
      </c>
      <c r="Y30" s="28">
        <v>-6660</v>
      </c>
      <c r="Z30" s="28">
        <v>57336</v>
      </c>
      <c r="AA30" s="28">
        <v>-5.8999999999999997E-2</v>
      </c>
      <c r="AB30" s="28">
        <v>7.48</v>
      </c>
      <c r="AC30" s="28">
        <v>-4.32</v>
      </c>
      <c r="AD30" s="28">
        <v>1.1999999999999999E-3</v>
      </c>
      <c r="AE30" s="28">
        <v>-0.17</v>
      </c>
    </row>
    <row r="31" spans="1:31" x14ac:dyDescent="0.25">
      <c r="A31" s="28">
        <v>0.78</v>
      </c>
      <c r="B31" s="28">
        <v>1.4E-3</v>
      </c>
      <c r="C31" s="28">
        <v>-4.62</v>
      </c>
      <c r="D31" s="28">
        <v>8.84</v>
      </c>
      <c r="E31" s="28">
        <v>0.25800000000000001</v>
      </c>
      <c r="F31" s="28">
        <v>42852</v>
      </c>
      <c r="G31" s="28">
        <v>-20935</v>
      </c>
      <c r="H31" s="28">
        <v>903650</v>
      </c>
      <c r="I31" s="28">
        <v>6.98</v>
      </c>
      <c r="J31" s="28">
        <v>194.35</v>
      </c>
      <c r="K31" s="28">
        <v>25.1</v>
      </c>
      <c r="L31" s="28" t="s">
        <v>22</v>
      </c>
      <c r="M31" s="28">
        <v>194.2</v>
      </c>
      <c r="N31" s="28">
        <v>195.4</v>
      </c>
      <c r="O31" s="28" t="s">
        <v>22</v>
      </c>
      <c r="P31" s="29">
        <v>25300</v>
      </c>
      <c r="Q31" s="28" t="s">
        <v>22</v>
      </c>
      <c r="R31" s="28">
        <v>26.5</v>
      </c>
      <c r="S31" s="28">
        <v>26.75</v>
      </c>
      <c r="T31" s="28" t="s">
        <v>22</v>
      </c>
      <c r="U31" s="28">
        <v>-62.44</v>
      </c>
      <c r="V31" s="28">
        <v>26.5</v>
      </c>
      <c r="W31" s="28">
        <v>6.98</v>
      </c>
      <c r="X31" s="28">
        <v>2254692</v>
      </c>
      <c r="Y31" s="28">
        <v>32913</v>
      </c>
      <c r="Z31" s="28">
        <v>125200</v>
      </c>
      <c r="AA31" s="28">
        <v>-7.6999999999999999E-2</v>
      </c>
      <c r="AB31" s="28">
        <v>8.84</v>
      </c>
      <c r="AC31" s="28">
        <v>-4.62</v>
      </c>
      <c r="AD31" s="28">
        <v>1.4E-3</v>
      </c>
      <c r="AE31" s="28">
        <v>-0.22</v>
      </c>
    </row>
    <row r="32" spans="1:31" x14ac:dyDescent="0.25">
      <c r="A32" s="28">
        <v>0.71</v>
      </c>
      <c r="B32" s="28">
        <v>1.6999999999999999E-3</v>
      </c>
      <c r="C32" s="28">
        <v>-4.84</v>
      </c>
      <c r="D32" s="28">
        <v>10.23</v>
      </c>
      <c r="E32" s="28">
        <v>0.23599999999999999</v>
      </c>
      <c r="F32" s="28">
        <v>28470</v>
      </c>
      <c r="G32" s="28">
        <v>-12686</v>
      </c>
      <c r="H32" s="28">
        <v>1073893</v>
      </c>
      <c r="I32" s="28">
        <v>6.73</v>
      </c>
      <c r="J32" s="28">
        <v>155.44999999999999</v>
      </c>
      <c r="K32" s="28">
        <v>25.06</v>
      </c>
      <c r="L32" s="28" t="s">
        <v>22</v>
      </c>
      <c r="M32" s="28">
        <v>155.30000000000001</v>
      </c>
      <c r="N32" s="28">
        <v>156</v>
      </c>
      <c r="O32" s="28" t="s">
        <v>22</v>
      </c>
      <c r="P32" s="29">
        <v>25350</v>
      </c>
      <c r="Q32" s="28" t="s">
        <v>22</v>
      </c>
      <c r="R32" s="28">
        <v>37</v>
      </c>
      <c r="S32" s="28">
        <v>37.25</v>
      </c>
      <c r="T32" s="28" t="s">
        <v>22</v>
      </c>
      <c r="U32" s="28">
        <v>-58.77</v>
      </c>
      <c r="V32" s="28">
        <v>37</v>
      </c>
      <c r="W32" s="28">
        <v>6.73</v>
      </c>
      <c r="X32" s="28">
        <v>2124373</v>
      </c>
      <c r="Y32" s="28">
        <v>24624</v>
      </c>
      <c r="Z32" s="28">
        <v>64941</v>
      </c>
      <c r="AA32" s="28">
        <v>-0.10199999999999999</v>
      </c>
      <c r="AB32" s="28">
        <v>10.23</v>
      </c>
      <c r="AC32" s="28">
        <v>-4.84</v>
      </c>
      <c r="AD32" s="28">
        <v>1.6999999999999999E-3</v>
      </c>
      <c r="AE32" s="28">
        <v>-0.28999999999999998</v>
      </c>
    </row>
    <row r="33" spans="1:31" x14ac:dyDescent="0.25">
      <c r="A33" s="29">
        <v>0.61</v>
      </c>
      <c r="B33" s="29">
        <v>1.6999999999999999E-3</v>
      </c>
      <c r="C33" s="29">
        <v>-5.71</v>
      </c>
      <c r="D33" s="29">
        <v>11.45</v>
      </c>
      <c r="E33" s="29">
        <v>0.21</v>
      </c>
      <c r="F33" s="29">
        <v>107027</v>
      </c>
      <c r="G33" s="29">
        <v>37782</v>
      </c>
      <c r="H33" s="29">
        <v>3346918</v>
      </c>
      <c r="I33" s="29">
        <v>7.4</v>
      </c>
      <c r="J33" s="29">
        <v>120</v>
      </c>
      <c r="K33" s="29">
        <v>22.95</v>
      </c>
      <c r="L33" s="29" t="s">
        <v>22</v>
      </c>
      <c r="M33" s="29">
        <v>119.2</v>
      </c>
      <c r="N33" s="29">
        <v>120.2</v>
      </c>
      <c r="O33" s="29" t="s">
        <v>22</v>
      </c>
      <c r="P33" s="29">
        <v>25400</v>
      </c>
      <c r="Q33" s="29" t="s">
        <v>22</v>
      </c>
      <c r="R33" s="29">
        <v>51</v>
      </c>
      <c r="S33" s="29">
        <v>51.45</v>
      </c>
      <c r="T33" s="29" t="s">
        <v>22</v>
      </c>
      <c r="U33" s="29">
        <v>-54.27</v>
      </c>
      <c r="V33" s="29">
        <v>51.45</v>
      </c>
      <c r="W33" s="29">
        <v>7.4</v>
      </c>
      <c r="X33" s="29">
        <v>3825627</v>
      </c>
      <c r="Y33" s="29">
        <v>85223</v>
      </c>
      <c r="Z33" s="29">
        <v>127144</v>
      </c>
      <c r="AA33" s="29">
        <v>-0.13300000000000001</v>
      </c>
      <c r="AB33" s="29">
        <v>11.45</v>
      </c>
      <c r="AC33" s="29">
        <v>-5.71</v>
      </c>
      <c r="AD33" s="29">
        <v>1.6999999999999999E-3</v>
      </c>
      <c r="AE33" s="29">
        <v>-0.39</v>
      </c>
    </row>
    <row r="34" spans="1:31" x14ac:dyDescent="0.25">
      <c r="A34" s="28">
        <v>0.52</v>
      </c>
      <c r="B34" s="28">
        <v>1.9E-3</v>
      </c>
      <c r="C34" s="28">
        <v>-5.09</v>
      </c>
      <c r="D34" s="28">
        <v>11.86</v>
      </c>
      <c r="E34" s="28">
        <v>0.17899999999999999</v>
      </c>
      <c r="F34" s="28">
        <v>77283</v>
      </c>
      <c r="G34" s="28">
        <v>47666</v>
      </c>
      <c r="H34" s="28">
        <v>2353489</v>
      </c>
      <c r="I34" s="28">
        <v>7.15</v>
      </c>
      <c r="J34" s="28">
        <v>89.1</v>
      </c>
      <c r="K34" s="28">
        <v>18.8</v>
      </c>
      <c r="L34" s="28" t="s">
        <v>22</v>
      </c>
      <c r="M34" s="28">
        <v>89.15</v>
      </c>
      <c r="N34" s="28">
        <v>90.2</v>
      </c>
      <c r="O34" s="28" t="s">
        <v>22</v>
      </c>
      <c r="P34" s="29">
        <v>25450</v>
      </c>
      <c r="Q34" s="28" t="s">
        <v>22</v>
      </c>
      <c r="R34" s="28">
        <v>70.8</v>
      </c>
      <c r="S34" s="28">
        <v>71.3</v>
      </c>
      <c r="T34" s="28" t="s">
        <v>22</v>
      </c>
      <c r="U34" s="28">
        <v>-48.98</v>
      </c>
      <c r="V34" s="28">
        <v>71.45</v>
      </c>
      <c r="W34" s="28">
        <v>7.15</v>
      </c>
      <c r="X34" s="28">
        <v>1966207</v>
      </c>
      <c r="Y34" s="28">
        <v>52014</v>
      </c>
      <c r="Z34" s="28">
        <v>59328</v>
      </c>
      <c r="AA34" s="28">
        <v>-0.16800000000000001</v>
      </c>
      <c r="AB34" s="28">
        <v>11.86</v>
      </c>
      <c r="AC34" s="28">
        <v>-5.09</v>
      </c>
      <c r="AD34" s="28">
        <v>1.9E-3</v>
      </c>
      <c r="AE34" s="28">
        <v>-0.48</v>
      </c>
    </row>
    <row r="35" spans="1:31" x14ac:dyDescent="0.25">
      <c r="A35" s="28">
        <v>0.42</v>
      </c>
      <c r="B35" s="28">
        <v>1.9E-3</v>
      </c>
      <c r="C35" s="28">
        <v>-4.12</v>
      </c>
      <c r="D35" s="28">
        <v>11.65</v>
      </c>
      <c r="E35" s="28">
        <v>0.14599999999999999</v>
      </c>
      <c r="F35" s="28">
        <v>153432</v>
      </c>
      <c r="G35" s="28">
        <v>57117</v>
      </c>
      <c r="H35" s="28">
        <v>3005470</v>
      </c>
      <c r="I35" s="28">
        <v>7.01</v>
      </c>
      <c r="J35" s="28">
        <v>64.2</v>
      </c>
      <c r="K35" s="28">
        <v>13.53</v>
      </c>
      <c r="L35" s="28" t="s">
        <v>22</v>
      </c>
      <c r="M35" s="28">
        <v>64.150000000000006</v>
      </c>
      <c r="N35" s="28">
        <v>64.2</v>
      </c>
      <c r="O35" s="28" t="s">
        <v>22</v>
      </c>
      <c r="P35" s="29">
        <v>25500</v>
      </c>
      <c r="Q35" s="28" t="s">
        <v>22</v>
      </c>
      <c r="R35" s="28">
        <v>95</v>
      </c>
      <c r="S35" s="28">
        <v>95.3</v>
      </c>
      <c r="T35" s="28" t="s">
        <v>22</v>
      </c>
      <c r="U35" s="28">
        <v>-44.4</v>
      </c>
      <c r="V35" s="28">
        <v>95.3</v>
      </c>
      <c r="W35" s="28">
        <v>7.01</v>
      </c>
      <c r="X35" s="28">
        <v>1733087</v>
      </c>
      <c r="Y35" s="28">
        <v>31882</v>
      </c>
      <c r="Z35" s="28">
        <v>46928</v>
      </c>
      <c r="AA35" s="28">
        <v>-0.20599999999999999</v>
      </c>
      <c r="AB35" s="28">
        <v>11.65</v>
      </c>
      <c r="AC35" s="28">
        <v>-4.12</v>
      </c>
      <c r="AD35" s="28">
        <v>1.9E-3</v>
      </c>
      <c r="AE35" s="28">
        <v>-0.57999999999999996</v>
      </c>
    </row>
    <row r="36" spans="1:31" x14ac:dyDescent="0.25">
      <c r="A36" s="28">
        <v>0.33</v>
      </c>
      <c r="B36" s="28">
        <v>1.8E-3</v>
      </c>
      <c r="C36" s="28">
        <v>-2.81</v>
      </c>
      <c r="D36" s="28">
        <v>10.79</v>
      </c>
      <c r="E36" s="28">
        <v>0.115</v>
      </c>
      <c r="F36" s="28">
        <v>59249</v>
      </c>
      <c r="G36" s="28">
        <v>34931</v>
      </c>
      <c r="H36" s="28">
        <v>1350526</v>
      </c>
      <c r="I36" s="28">
        <v>6.96</v>
      </c>
      <c r="J36" s="28">
        <v>44.95</v>
      </c>
      <c r="K36" s="28">
        <v>6.9</v>
      </c>
      <c r="L36" s="28" t="s">
        <v>22</v>
      </c>
      <c r="M36" s="28">
        <v>44.5</v>
      </c>
      <c r="N36" s="28">
        <v>44.95</v>
      </c>
      <c r="O36" s="28" t="s">
        <v>22</v>
      </c>
      <c r="P36" s="29">
        <v>25550</v>
      </c>
      <c r="Q36" s="28" t="s">
        <v>22</v>
      </c>
      <c r="R36" s="28">
        <v>125.4</v>
      </c>
      <c r="S36" s="28">
        <v>126</v>
      </c>
      <c r="T36" s="28" t="s">
        <v>22</v>
      </c>
      <c r="U36" s="28">
        <v>-39.549999999999997</v>
      </c>
      <c r="V36" s="28">
        <v>125.2</v>
      </c>
      <c r="W36" s="28">
        <v>6.96</v>
      </c>
      <c r="X36" s="28">
        <v>399055</v>
      </c>
      <c r="Y36" s="28">
        <v>5689</v>
      </c>
      <c r="Z36" s="28">
        <v>8389</v>
      </c>
      <c r="AA36" s="28">
        <v>-0.24399999999999999</v>
      </c>
      <c r="AB36" s="28">
        <v>10.79</v>
      </c>
      <c r="AC36" s="28">
        <v>-2.81</v>
      </c>
      <c r="AD36" s="28">
        <v>1.8E-3</v>
      </c>
      <c r="AE36" s="28">
        <v>-0.67</v>
      </c>
    </row>
    <row r="37" spans="1:31" x14ac:dyDescent="0.25">
      <c r="A37" s="28">
        <v>0.25</v>
      </c>
      <c r="B37" s="28">
        <v>1.5E-3</v>
      </c>
      <c r="C37" s="28">
        <v>-1.18</v>
      </c>
      <c r="D37" s="28">
        <v>9.4</v>
      </c>
      <c r="E37" s="28">
        <v>8.5999999999999993E-2</v>
      </c>
      <c r="F37" s="28">
        <v>95959</v>
      </c>
      <c r="G37" s="28">
        <v>45895</v>
      </c>
      <c r="H37" s="28">
        <v>1612777</v>
      </c>
      <c r="I37" s="28">
        <v>6.89</v>
      </c>
      <c r="J37" s="28">
        <v>30</v>
      </c>
      <c r="K37" s="28">
        <v>-3.38</v>
      </c>
      <c r="L37" s="28" t="s">
        <v>22</v>
      </c>
      <c r="M37" s="28">
        <v>29.7</v>
      </c>
      <c r="N37" s="28">
        <v>30</v>
      </c>
      <c r="O37" s="28" t="s">
        <v>22</v>
      </c>
      <c r="P37" s="29">
        <v>25600</v>
      </c>
      <c r="Q37" s="28" t="s">
        <v>22</v>
      </c>
      <c r="R37" s="28">
        <v>160.4</v>
      </c>
      <c r="S37" s="28">
        <v>161.44999999999999</v>
      </c>
      <c r="T37" s="28" t="s">
        <v>22</v>
      </c>
      <c r="U37" s="28">
        <v>-34.700000000000003</v>
      </c>
      <c r="V37" s="28">
        <v>161</v>
      </c>
      <c r="W37" s="28">
        <v>6.89</v>
      </c>
      <c r="X37" s="28">
        <v>387458</v>
      </c>
      <c r="Y37" s="28">
        <v>7307</v>
      </c>
      <c r="Z37" s="28">
        <v>10470</v>
      </c>
      <c r="AA37" s="28">
        <v>-0.27900000000000003</v>
      </c>
      <c r="AB37" s="28">
        <v>9.4</v>
      </c>
      <c r="AC37" s="28">
        <v>-1.18</v>
      </c>
      <c r="AD37" s="28">
        <v>1.5E-3</v>
      </c>
      <c r="AE37" s="28">
        <v>-0.75</v>
      </c>
    </row>
    <row r="38" spans="1:31" x14ac:dyDescent="0.25">
      <c r="A38" s="28">
        <v>0.18</v>
      </c>
      <c r="B38" s="28">
        <v>1.2999999999999999E-3</v>
      </c>
      <c r="C38" s="28">
        <v>0.46</v>
      </c>
      <c r="D38" s="28">
        <v>7.73</v>
      </c>
      <c r="E38" s="28">
        <v>6.0999999999999999E-2</v>
      </c>
      <c r="F38" s="28">
        <v>49063</v>
      </c>
      <c r="G38" s="28">
        <v>25163</v>
      </c>
      <c r="H38" s="28">
        <v>851664</v>
      </c>
      <c r="I38" s="28">
        <v>6.89</v>
      </c>
      <c r="J38" s="28">
        <v>19.55</v>
      </c>
      <c r="K38" s="28">
        <v>-13.88</v>
      </c>
      <c r="L38" s="28" t="s">
        <v>22</v>
      </c>
      <c r="M38" s="28">
        <v>19.55</v>
      </c>
      <c r="N38" s="28">
        <v>19.649999999999999</v>
      </c>
      <c r="O38" s="28" t="s">
        <v>22</v>
      </c>
      <c r="P38" s="29">
        <v>25650</v>
      </c>
      <c r="Q38" s="28" t="s">
        <v>22</v>
      </c>
      <c r="R38" s="28">
        <v>200.45</v>
      </c>
      <c r="S38" s="28">
        <v>201.2</v>
      </c>
      <c r="T38" s="28" t="s">
        <v>22</v>
      </c>
      <c r="U38" s="28">
        <v>-30.02</v>
      </c>
      <c r="V38" s="28">
        <v>201.6</v>
      </c>
      <c r="W38" s="28">
        <v>6.89</v>
      </c>
      <c r="X38" s="28">
        <v>68885</v>
      </c>
      <c r="Y38" s="28">
        <v>1572</v>
      </c>
      <c r="Z38" s="28">
        <v>2218</v>
      </c>
      <c r="AA38" s="28">
        <v>-0.307</v>
      </c>
      <c r="AB38" s="28">
        <v>7.73</v>
      </c>
      <c r="AC38" s="28">
        <v>0.46</v>
      </c>
      <c r="AD38" s="28">
        <v>1.2999999999999999E-3</v>
      </c>
      <c r="AE38" s="28">
        <v>-0.82</v>
      </c>
    </row>
    <row r="39" spans="1:31" x14ac:dyDescent="0.25">
      <c r="A39" s="28">
        <v>0.13</v>
      </c>
      <c r="B39" s="28">
        <v>1E-3</v>
      </c>
      <c r="C39" s="28">
        <v>1.85</v>
      </c>
      <c r="D39" s="28">
        <v>6.15</v>
      </c>
      <c r="E39" s="28">
        <v>4.3999999999999997E-2</v>
      </c>
      <c r="F39" s="28">
        <v>76184</v>
      </c>
      <c r="G39" s="28">
        <v>27253</v>
      </c>
      <c r="H39" s="28">
        <v>1015935</v>
      </c>
      <c r="I39" s="28">
        <v>7.01</v>
      </c>
      <c r="J39" s="28">
        <v>13</v>
      </c>
      <c r="K39" s="28">
        <v>-22.85</v>
      </c>
      <c r="L39" s="28" t="s">
        <v>22</v>
      </c>
      <c r="M39" s="28">
        <v>12.65</v>
      </c>
      <c r="N39" s="28">
        <v>13</v>
      </c>
      <c r="O39" s="28" t="s">
        <v>22</v>
      </c>
      <c r="P39" s="29">
        <v>25700</v>
      </c>
      <c r="Q39" s="28" t="s">
        <v>22</v>
      </c>
      <c r="R39" s="28">
        <v>242.95</v>
      </c>
      <c r="S39" s="28">
        <v>244.65</v>
      </c>
      <c r="T39" s="28" t="s">
        <v>22</v>
      </c>
      <c r="U39" s="28">
        <v>-26.33</v>
      </c>
      <c r="V39" s="28">
        <v>244.15</v>
      </c>
      <c r="W39" s="28">
        <v>7.01</v>
      </c>
      <c r="X39" s="28">
        <v>75641</v>
      </c>
      <c r="Y39" s="28">
        <v>1902</v>
      </c>
      <c r="Z39" s="28">
        <v>3409</v>
      </c>
      <c r="AA39" s="28">
        <v>-0.33500000000000002</v>
      </c>
      <c r="AB39" s="28">
        <v>6.15</v>
      </c>
      <c r="AC39" s="28">
        <v>1.85</v>
      </c>
      <c r="AD39" s="28">
        <v>1E-3</v>
      </c>
      <c r="AE39" s="28">
        <v>-0.87</v>
      </c>
    </row>
    <row r="40" spans="1:31" x14ac:dyDescent="0.25">
      <c r="A40" s="28">
        <v>0.09</v>
      </c>
      <c r="B40" s="28">
        <v>6.9999999999999999E-4</v>
      </c>
      <c r="C40" s="28">
        <v>3.11</v>
      </c>
      <c r="D40" s="28">
        <v>4.6900000000000004</v>
      </c>
      <c r="E40" s="28">
        <v>0.03</v>
      </c>
      <c r="F40" s="28">
        <v>46063</v>
      </c>
      <c r="G40" s="28">
        <v>21854</v>
      </c>
      <c r="H40" s="28">
        <v>773301</v>
      </c>
      <c r="I40" s="28">
        <v>7.12</v>
      </c>
      <c r="J40" s="28">
        <v>8.4</v>
      </c>
      <c r="K40" s="28">
        <v>-32.26</v>
      </c>
      <c r="L40" s="28" t="s">
        <v>22</v>
      </c>
      <c r="M40" s="28">
        <v>8.1999999999999993</v>
      </c>
      <c r="N40" s="28">
        <v>8.4</v>
      </c>
      <c r="O40" s="28" t="s">
        <v>22</v>
      </c>
      <c r="P40" s="29">
        <v>25750</v>
      </c>
      <c r="Q40" s="28" t="s">
        <v>22</v>
      </c>
      <c r="R40" s="28">
        <v>288.60000000000002</v>
      </c>
      <c r="S40" s="28">
        <v>290</v>
      </c>
      <c r="T40" s="28" t="s">
        <v>22</v>
      </c>
      <c r="U40" s="28">
        <v>-23.33</v>
      </c>
      <c r="V40" s="28">
        <v>289.10000000000002</v>
      </c>
      <c r="W40" s="28">
        <v>7.12</v>
      </c>
      <c r="X40" s="28">
        <v>10104</v>
      </c>
      <c r="Y40" s="28">
        <v>370</v>
      </c>
      <c r="Z40" s="28">
        <v>611</v>
      </c>
      <c r="AA40" s="28">
        <v>-0.35199999999999998</v>
      </c>
      <c r="AB40" s="28">
        <v>4.6900000000000004</v>
      </c>
      <c r="AC40" s="28">
        <v>3.11</v>
      </c>
      <c r="AD40" s="28">
        <v>6.9999999999999999E-4</v>
      </c>
      <c r="AE40" s="28">
        <v>-0.91</v>
      </c>
    </row>
    <row r="41" spans="1:31" x14ac:dyDescent="0.25">
      <c r="A41" s="28">
        <v>0.06</v>
      </c>
      <c r="B41" s="28">
        <v>5.9999999999999995E-4</v>
      </c>
      <c r="C41" s="28">
        <v>3.99</v>
      </c>
      <c r="D41" s="28">
        <v>3.6</v>
      </c>
      <c r="E41" s="28">
        <v>2.1000000000000001E-2</v>
      </c>
      <c r="F41" s="28">
        <v>114925</v>
      </c>
      <c r="G41" s="28">
        <v>64233</v>
      </c>
      <c r="H41" s="28">
        <v>991686</v>
      </c>
      <c r="I41" s="28">
        <v>7.35</v>
      </c>
      <c r="J41" s="28">
        <v>5.75</v>
      </c>
      <c r="K41" s="28">
        <v>-38.17</v>
      </c>
      <c r="L41" s="28" t="s">
        <v>22</v>
      </c>
      <c r="M41" s="28">
        <v>5.6</v>
      </c>
      <c r="N41" s="28">
        <v>5.7</v>
      </c>
      <c r="O41" s="28" t="s">
        <v>22</v>
      </c>
      <c r="P41" s="29">
        <v>25800</v>
      </c>
      <c r="Q41" s="28" t="s">
        <v>22</v>
      </c>
      <c r="R41" s="28">
        <v>335.7</v>
      </c>
      <c r="S41" s="28">
        <v>337.3</v>
      </c>
      <c r="T41" s="28" t="s">
        <v>22</v>
      </c>
      <c r="U41" s="28">
        <v>-20.48</v>
      </c>
      <c r="V41" s="28">
        <v>336.9</v>
      </c>
      <c r="W41" s="28">
        <v>7.35</v>
      </c>
      <c r="X41" s="28">
        <v>15156</v>
      </c>
      <c r="Y41" s="28">
        <v>595</v>
      </c>
      <c r="Z41" s="28">
        <v>2060</v>
      </c>
      <c r="AA41" s="28">
        <v>-0.35299999999999998</v>
      </c>
      <c r="AB41" s="28">
        <v>3.6</v>
      </c>
      <c r="AC41" s="28">
        <v>3.99</v>
      </c>
      <c r="AD41" s="28">
        <v>5.9999999999999995E-4</v>
      </c>
      <c r="AE41" s="28">
        <v>-0.94</v>
      </c>
    </row>
    <row r="42" spans="1:31" x14ac:dyDescent="0.25">
      <c r="A42" s="28">
        <v>0.04</v>
      </c>
      <c r="B42" s="28">
        <v>4.0000000000000002E-4</v>
      </c>
      <c r="C42" s="28">
        <v>4.6900000000000004</v>
      </c>
      <c r="D42" s="28">
        <v>2.74</v>
      </c>
      <c r="E42" s="28">
        <v>1.4999999999999999E-2</v>
      </c>
      <c r="F42" s="28">
        <v>38475</v>
      </c>
      <c r="G42" s="28">
        <v>17091</v>
      </c>
      <c r="H42" s="28">
        <v>523043</v>
      </c>
      <c r="I42" s="28">
        <v>7.6</v>
      </c>
      <c r="J42" s="28">
        <v>4</v>
      </c>
      <c r="K42" s="28">
        <v>-43.26</v>
      </c>
      <c r="L42" s="28" t="s">
        <v>22</v>
      </c>
      <c r="M42" s="28">
        <v>3.9</v>
      </c>
      <c r="N42" s="28">
        <v>4</v>
      </c>
      <c r="O42" s="28" t="s">
        <v>22</v>
      </c>
      <c r="P42" s="29">
        <v>25850</v>
      </c>
      <c r="Q42" s="28" t="s">
        <v>22</v>
      </c>
      <c r="R42" s="28">
        <v>383.95</v>
      </c>
      <c r="S42" s="28">
        <v>389</v>
      </c>
      <c r="T42" s="28" t="s">
        <v>22</v>
      </c>
      <c r="U42" s="28">
        <v>-18.21</v>
      </c>
      <c r="V42" s="28">
        <v>385.2</v>
      </c>
      <c r="W42" s="28">
        <v>7.6</v>
      </c>
      <c r="X42" s="28">
        <v>2629</v>
      </c>
      <c r="Y42" s="28">
        <v>144</v>
      </c>
      <c r="Z42" s="28">
        <v>285</v>
      </c>
      <c r="AA42" s="28">
        <v>-0.35399999999999998</v>
      </c>
      <c r="AB42" s="28">
        <v>2.74</v>
      </c>
      <c r="AC42" s="28">
        <v>4.6900000000000004</v>
      </c>
      <c r="AD42" s="28">
        <v>4.0000000000000002E-4</v>
      </c>
      <c r="AE42" s="28">
        <v>-0.96</v>
      </c>
    </row>
    <row r="43" spans="1:31" x14ac:dyDescent="0.25">
      <c r="A43" s="28">
        <v>0.03</v>
      </c>
      <c r="B43" s="28">
        <v>2.9999999999999997E-4</v>
      </c>
      <c r="C43" s="28">
        <v>5.19</v>
      </c>
      <c r="D43" s="28">
        <v>2.12</v>
      </c>
      <c r="E43" s="28">
        <v>1.0999999999999999E-2</v>
      </c>
      <c r="F43" s="28">
        <v>57711</v>
      </c>
      <c r="G43" s="28">
        <v>17954</v>
      </c>
      <c r="H43" s="28">
        <v>559058</v>
      </c>
      <c r="I43" s="28">
        <v>7.9</v>
      </c>
      <c r="J43" s="28">
        <v>2.9</v>
      </c>
      <c r="K43" s="28">
        <v>-47.27</v>
      </c>
      <c r="L43" s="28" t="s">
        <v>22</v>
      </c>
      <c r="M43" s="28">
        <v>2.85</v>
      </c>
      <c r="N43" s="28">
        <v>2.95</v>
      </c>
      <c r="O43" s="28" t="s">
        <v>22</v>
      </c>
      <c r="P43" s="29">
        <v>25900</v>
      </c>
      <c r="Q43" s="28" t="s">
        <v>22</v>
      </c>
      <c r="R43" s="28">
        <v>431.45</v>
      </c>
      <c r="S43" s="28">
        <v>437.45</v>
      </c>
      <c r="T43" s="28" t="s">
        <v>22</v>
      </c>
      <c r="U43" s="28">
        <v>-15.67</v>
      </c>
      <c r="V43" s="28">
        <v>437.65</v>
      </c>
      <c r="W43" s="28">
        <v>7.9</v>
      </c>
      <c r="X43" s="28">
        <v>3661</v>
      </c>
      <c r="Y43" s="28">
        <v>171</v>
      </c>
      <c r="Z43" s="28">
        <v>382</v>
      </c>
      <c r="AA43" s="28">
        <v>-0.35399999999999998</v>
      </c>
      <c r="AB43" s="28">
        <v>2.12</v>
      </c>
      <c r="AC43" s="28">
        <v>5.19</v>
      </c>
      <c r="AD43" s="28">
        <v>2.9999999999999997E-4</v>
      </c>
      <c r="AE43" s="28">
        <v>-0.97</v>
      </c>
    </row>
    <row r="44" spans="1:31" x14ac:dyDescent="0.25">
      <c r="A44" s="28">
        <v>0.02</v>
      </c>
      <c r="B44" s="28">
        <v>2.0000000000000001E-4</v>
      </c>
      <c r="C44" s="28">
        <v>5.52</v>
      </c>
      <c r="D44" s="28">
        <v>1.7</v>
      </c>
      <c r="E44" s="28">
        <v>8.0000000000000002E-3</v>
      </c>
      <c r="F44" s="28">
        <v>34551</v>
      </c>
      <c r="G44" s="28">
        <v>17373</v>
      </c>
      <c r="H44" s="28">
        <v>391911</v>
      </c>
      <c r="I44" s="28">
        <v>8.27</v>
      </c>
      <c r="J44" s="28">
        <v>2.25</v>
      </c>
      <c r="K44" s="28">
        <v>-47.67</v>
      </c>
      <c r="L44" s="28" t="s">
        <v>22</v>
      </c>
      <c r="M44" s="28">
        <v>2.25</v>
      </c>
      <c r="N44" s="28">
        <v>2.35</v>
      </c>
      <c r="O44" s="28" t="s">
        <v>22</v>
      </c>
      <c r="P44" s="29">
        <v>25950</v>
      </c>
      <c r="Q44" s="28" t="s">
        <v>22</v>
      </c>
      <c r="R44" s="28">
        <v>479.3</v>
      </c>
      <c r="S44" s="28">
        <v>487.1</v>
      </c>
      <c r="T44" s="28" t="s">
        <v>22</v>
      </c>
      <c r="U44" s="28">
        <v>-15.26</v>
      </c>
      <c r="V44" s="28">
        <v>481.7</v>
      </c>
      <c r="W44" s="28">
        <v>8.27</v>
      </c>
      <c r="X44" s="28">
        <v>439</v>
      </c>
      <c r="Y44" s="28">
        <v>50</v>
      </c>
      <c r="Z44" s="28">
        <v>92</v>
      </c>
      <c r="AA44" s="28">
        <v>-0.35499999999999998</v>
      </c>
      <c r="AB44" s="28">
        <v>1.7</v>
      </c>
      <c r="AC44" s="28">
        <v>5.52</v>
      </c>
      <c r="AD44" s="28">
        <v>2.0000000000000001E-4</v>
      </c>
      <c r="AE44" s="28">
        <v>-0.98</v>
      </c>
    </row>
    <row r="45" spans="1:31" x14ac:dyDescent="0.25">
      <c r="A45" s="28">
        <v>0.02</v>
      </c>
      <c r="B45" s="28">
        <v>2.0000000000000001E-4</v>
      </c>
      <c r="C45" s="28">
        <v>5.66</v>
      </c>
      <c r="D45" s="28">
        <v>1.49</v>
      </c>
      <c r="E45" s="28">
        <v>7.0000000000000001E-3</v>
      </c>
      <c r="F45" s="28">
        <v>151983</v>
      </c>
      <c r="G45" s="28">
        <v>37285</v>
      </c>
      <c r="H45" s="28">
        <v>897349</v>
      </c>
      <c r="I45" s="28">
        <v>8.8000000000000007</v>
      </c>
      <c r="J45" s="28">
        <v>2</v>
      </c>
      <c r="K45" s="28">
        <v>-44.44</v>
      </c>
      <c r="L45" s="28" t="s">
        <v>22</v>
      </c>
      <c r="M45" s="28">
        <v>1.9</v>
      </c>
      <c r="N45" s="28">
        <v>2</v>
      </c>
      <c r="O45" s="28" t="s">
        <v>22</v>
      </c>
      <c r="P45" s="29">
        <v>26000</v>
      </c>
      <c r="Q45" s="28" t="s">
        <v>22</v>
      </c>
      <c r="R45" s="28">
        <v>530.54999999999995</v>
      </c>
      <c r="S45" s="28">
        <v>535.5</v>
      </c>
      <c r="T45" s="28" t="s">
        <v>22</v>
      </c>
      <c r="U45" s="28">
        <v>-13.6</v>
      </c>
      <c r="V45" s="28">
        <v>533</v>
      </c>
      <c r="W45" s="28">
        <v>8.8000000000000007</v>
      </c>
      <c r="X45" s="28">
        <v>3969</v>
      </c>
      <c r="Y45" s="28">
        <v>39</v>
      </c>
      <c r="Z45" s="28">
        <v>2604</v>
      </c>
      <c r="AA45" s="28">
        <v>-0.35599999999999998</v>
      </c>
      <c r="AB45" s="28">
        <v>1.49</v>
      </c>
      <c r="AC45" s="28">
        <v>5.66</v>
      </c>
      <c r="AD45" s="28">
        <v>2.0000000000000001E-4</v>
      </c>
      <c r="AE45" s="28">
        <v>-0.98</v>
      </c>
    </row>
    <row r="46" spans="1:31" x14ac:dyDescent="0.25">
      <c r="A46" s="28">
        <v>0.02</v>
      </c>
      <c r="B46" s="28">
        <v>1E-4</v>
      </c>
      <c r="C46" s="28">
        <v>5.93</v>
      </c>
      <c r="D46" s="28">
        <v>1.19</v>
      </c>
      <c r="E46" s="28">
        <v>6.0000000000000001E-3</v>
      </c>
      <c r="F46" s="28">
        <v>35208</v>
      </c>
      <c r="G46" s="28">
        <v>19395</v>
      </c>
      <c r="H46" s="28">
        <v>258531</v>
      </c>
      <c r="I46" s="28">
        <v>9.1300000000000008</v>
      </c>
      <c r="J46" s="28">
        <v>1.55</v>
      </c>
      <c r="K46" s="28">
        <v>-45.61</v>
      </c>
      <c r="L46" s="28" t="s">
        <v>22</v>
      </c>
      <c r="M46" s="28">
        <v>1.55</v>
      </c>
      <c r="N46" s="28">
        <v>1.6</v>
      </c>
      <c r="O46" s="28" t="s">
        <v>22</v>
      </c>
      <c r="P46" s="29">
        <v>26050</v>
      </c>
      <c r="Q46" s="28" t="s">
        <v>22</v>
      </c>
      <c r="R46" s="28">
        <v>533</v>
      </c>
      <c r="S46" s="28">
        <v>588.45000000000005</v>
      </c>
      <c r="T46" s="28" t="s">
        <v>22</v>
      </c>
      <c r="U46" s="28">
        <v>-13.27</v>
      </c>
      <c r="V46" s="28">
        <v>580.04999999999995</v>
      </c>
      <c r="W46" s="28">
        <v>9.1300000000000008</v>
      </c>
      <c r="X46" s="28">
        <v>228</v>
      </c>
      <c r="Y46" s="28">
        <v>14</v>
      </c>
      <c r="Z46" s="28">
        <v>26</v>
      </c>
      <c r="AA46" s="28">
        <v>-0.35599999999999998</v>
      </c>
      <c r="AB46" s="28">
        <v>1.19</v>
      </c>
      <c r="AC46" s="28">
        <v>5.93</v>
      </c>
      <c r="AD46" s="28">
        <v>1E-4</v>
      </c>
      <c r="AE46" s="28">
        <v>-0.98</v>
      </c>
    </row>
    <row r="47" spans="1:31" x14ac:dyDescent="0.25">
      <c r="A47" s="28">
        <v>0.01</v>
      </c>
      <c r="B47" s="28">
        <v>1E-4</v>
      </c>
      <c r="C47" s="28">
        <v>6.06</v>
      </c>
      <c r="D47" s="28">
        <v>1.03</v>
      </c>
      <c r="E47" s="28">
        <v>5.0000000000000001E-3</v>
      </c>
      <c r="F47" s="28">
        <v>62954</v>
      </c>
      <c r="G47" s="28">
        <v>37817</v>
      </c>
      <c r="H47" s="28">
        <v>488668</v>
      </c>
      <c r="I47" s="28">
        <v>9.6</v>
      </c>
      <c r="J47" s="28">
        <v>1.35</v>
      </c>
      <c r="K47" s="28">
        <v>-44.9</v>
      </c>
      <c r="L47" s="28" t="s">
        <v>22</v>
      </c>
      <c r="M47" s="28">
        <v>1.35</v>
      </c>
      <c r="N47" s="28">
        <v>1.4</v>
      </c>
      <c r="O47" s="28" t="s">
        <v>22</v>
      </c>
      <c r="P47" s="29">
        <v>26100</v>
      </c>
      <c r="Q47" s="28" t="s">
        <v>22</v>
      </c>
      <c r="R47" s="28">
        <v>628</v>
      </c>
      <c r="S47" s="28">
        <v>638.70000000000005</v>
      </c>
      <c r="T47" s="28" t="s">
        <v>22</v>
      </c>
      <c r="U47" s="28">
        <v>-12.09</v>
      </c>
      <c r="V47" s="28">
        <v>629.95000000000005</v>
      </c>
      <c r="W47" s="28">
        <v>9.6</v>
      </c>
      <c r="X47" s="28">
        <v>154</v>
      </c>
      <c r="Y47" s="28">
        <v>12</v>
      </c>
      <c r="Z47" s="28">
        <v>111</v>
      </c>
      <c r="AA47" s="28">
        <v>-0.35699999999999998</v>
      </c>
      <c r="AB47" s="28">
        <v>1.03</v>
      </c>
      <c r="AC47" s="28">
        <v>6.06</v>
      </c>
      <c r="AD47" s="28">
        <v>1E-4</v>
      </c>
      <c r="AE47" s="28">
        <v>-0.99</v>
      </c>
    </row>
    <row r="48" spans="1:31" x14ac:dyDescent="0.25">
      <c r="A48" s="28">
        <v>0.01</v>
      </c>
      <c r="B48" s="28">
        <v>1E-4</v>
      </c>
      <c r="C48" s="28">
        <v>6.16</v>
      </c>
      <c r="D48" s="28">
        <v>0.91</v>
      </c>
      <c r="E48" s="28">
        <v>4.0000000000000001E-3</v>
      </c>
      <c r="F48" s="28">
        <v>17645</v>
      </c>
      <c r="G48" s="28">
        <v>8370</v>
      </c>
      <c r="H48" s="28">
        <v>189661</v>
      </c>
      <c r="I48" s="28">
        <v>10.07</v>
      </c>
      <c r="J48" s="28">
        <v>1.2</v>
      </c>
      <c r="K48" s="28">
        <v>-42.86</v>
      </c>
      <c r="L48" s="28" t="s">
        <v>22</v>
      </c>
      <c r="M48" s="28">
        <v>1.1499999999999999</v>
      </c>
      <c r="N48" s="28">
        <v>1.25</v>
      </c>
      <c r="O48" s="28" t="s">
        <v>22</v>
      </c>
      <c r="P48" s="29">
        <v>26150</v>
      </c>
      <c r="Q48" s="28" t="s">
        <v>22</v>
      </c>
      <c r="R48" s="28">
        <v>627.25</v>
      </c>
      <c r="S48" s="28">
        <v>727.4</v>
      </c>
      <c r="T48" s="28" t="s">
        <v>22</v>
      </c>
      <c r="U48" s="28">
        <v>0.36</v>
      </c>
      <c r="V48" s="28">
        <v>768.15</v>
      </c>
      <c r="W48" s="28">
        <v>10.07</v>
      </c>
      <c r="X48" s="28">
        <v>0</v>
      </c>
      <c r="Y48" s="28">
        <v>0</v>
      </c>
      <c r="Z48" s="28">
        <v>7</v>
      </c>
      <c r="AA48" s="28">
        <v>-0.29299999999999998</v>
      </c>
      <c r="AB48" s="28">
        <v>0.91</v>
      </c>
      <c r="AC48" s="28">
        <v>6.16</v>
      </c>
      <c r="AD48" s="28">
        <v>1E-4</v>
      </c>
      <c r="AE48" s="28">
        <v>-0.99</v>
      </c>
    </row>
    <row r="49" spans="1:31" x14ac:dyDescent="0.25">
      <c r="A49" s="28">
        <v>0.01</v>
      </c>
      <c r="B49" s="28">
        <v>1E-4</v>
      </c>
      <c r="C49" s="28">
        <v>6.2</v>
      </c>
      <c r="D49" s="28">
        <v>0.84</v>
      </c>
      <c r="E49" s="28">
        <v>4.0000000000000001E-3</v>
      </c>
      <c r="F49" s="28">
        <v>51126</v>
      </c>
      <c r="G49" s="28">
        <v>6541</v>
      </c>
      <c r="H49" s="28">
        <v>397777</v>
      </c>
      <c r="I49" s="28">
        <v>10.63</v>
      </c>
      <c r="J49" s="28">
        <v>1.1499999999999999</v>
      </c>
      <c r="K49" s="28">
        <v>-36.11</v>
      </c>
      <c r="L49" s="28" t="s">
        <v>22</v>
      </c>
      <c r="M49" s="28">
        <v>1.1499999999999999</v>
      </c>
      <c r="N49" s="28">
        <v>1.2</v>
      </c>
      <c r="O49" s="28" t="s">
        <v>22</v>
      </c>
      <c r="P49" s="29">
        <v>26200</v>
      </c>
      <c r="Q49" s="28" t="s">
        <v>22</v>
      </c>
      <c r="R49" s="28">
        <v>727.15</v>
      </c>
      <c r="S49" s="28">
        <v>734.7</v>
      </c>
      <c r="T49" s="28" t="s">
        <v>22</v>
      </c>
      <c r="U49" s="28">
        <v>-10.59</v>
      </c>
      <c r="V49" s="28">
        <v>729.75</v>
      </c>
      <c r="W49" s="28">
        <v>10.63</v>
      </c>
      <c r="X49" s="28">
        <v>806</v>
      </c>
      <c r="Y49" s="28">
        <v>32</v>
      </c>
      <c r="Z49" s="28">
        <v>107</v>
      </c>
      <c r="AA49" s="28">
        <v>-0.35799999999999998</v>
      </c>
      <c r="AB49" s="28">
        <v>0.84</v>
      </c>
      <c r="AC49" s="28">
        <v>6.2</v>
      </c>
      <c r="AD49" s="28">
        <v>1E-4</v>
      </c>
      <c r="AE49" s="28">
        <v>-0.99</v>
      </c>
    </row>
    <row r="50" spans="1:31" x14ac:dyDescent="0.25">
      <c r="A50" s="28">
        <v>0.01</v>
      </c>
      <c r="B50" s="28">
        <v>1E-4</v>
      </c>
      <c r="C50" s="28">
        <v>6.28</v>
      </c>
      <c r="D50" s="28">
        <v>0.76</v>
      </c>
      <c r="E50" s="28">
        <v>3.0000000000000001E-3</v>
      </c>
      <c r="F50" s="28">
        <v>11397</v>
      </c>
      <c r="G50" s="28">
        <v>4370</v>
      </c>
      <c r="H50" s="28">
        <v>124342</v>
      </c>
      <c r="I50" s="28">
        <v>11.12</v>
      </c>
      <c r="J50" s="28">
        <v>1.05</v>
      </c>
      <c r="K50" s="28">
        <v>-36.36</v>
      </c>
      <c r="L50" s="28" t="s">
        <v>22</v>
      </c>
      <c r="M50" s="28">
        <v>1.05</v>
      </c>
      <c r="N50" s="28">
        <v>1.1000000000000001</v>
      </c>
      <c r="O50" s="28" t="s">
        <v>22</v>
      </c>
      <c r="P50" s="29">
        <v>26250</v>
      </c>
      <c r="Q50" s="28" t="s">
        <v>22</v>
      </c>
      <c r="R50" s="28">
        <v>725.85</v>
      </c>
      <c r="S50" s="28">
        <v>828.35</v>
      </c>
      <c r="T50" s="28" t="s">
        <v>22</v>
      </c>
      <c r="U50" s="28">
        <v>-0.01</v>
      </c>
      <c r="V50" s="28">
        <v>865.9</v>
      </c>
      <c r="W50" s="28">
        <v>11.12</v>
      </c>
      <c r="X50" s="28">
        <v>0</v>
      </c>
      <c r="Y50" s="28">
        <v>0</v>
      </c>
      <c r="Z50" s="28">
        <v>7</v>
      </c>
      <c r="AA50" s="28">
        <v>-0.29899999999999999</v>
      </c>
      <c r="AB50" s="28">
        <v>0.76</v>
      </c>
      <c r="AC50" s="28">
        <v>6.28</v>
      </c>
      <c r="AD50" s="28">
        <v>1E-4</v>
      </c>
      <c r="AE50" s="28">
        <v>-0.99</v>
      </c>
    </row>
    <row r="51" spans="1:31" x14ac:dyDescent="0.25">
      <c r="A51" s="28">
        <v>0.01</v>
      </c>
      <c r="B51" s="28">
        <v>1E-4</v>
      </c>
      <c r="C51" s="28">
        <v>6.32</v>
      </c>
      <c r="D51" s="28">
        <v>0.7</v>
      </c>
      <c r="E51" s="28">
        <v>3.0000000000000001E-3</v>
      </c>
      <c r="F51" s="28">
        <v>36432</v>
      </c>
      <c r="G51" s="28">
        <v>10265</v>
      </c>
      <c r="H51" s="28">
        <v>269850</v>
      </c>
      <c r="I51" s="28">
        <v>11.65</v>
      </c>
      <c r="J51" s="28">
        <v>1</v>
      </c>
      <c r="K51" s="28">
        <v>-31.03</v>
      </c>
      <c r="L51" s="28" t="s">
        <v>22</v>
      </c>
      <c r="M51" s="28">
        <v>1</v>
      </c>
      <c r="N51" s="28">
        <v>1.05</v>
      </c>
      <c r="O51" s="28" t="s">
        <v>22</v>
      </c>
      <c r="P51" s="29">
        <v>26300</v>
      </c>
      <c r="Q51" s="28" t="s">
        <v>22</v>
      </c>
      <c r="R51" s="28">
        <v>778.65</v>
      </c>
      <c r="S51" s="28">
        <v>880.5</v>
      </c>
      <c r="T51" s="28" t="s">
        <v>22</v>
      </c>
      <c r="U51" s="28">
        <v>0</v>
      </c>
      <c r="V51" s="28">
        <v>914.45</v>
      </c>
      <c r="W51" s="28">
        <v>11.65</v>
      </c>
      <c r="X51" s="28">
        <v>0</v>
      </c>
      <c r="Y51" s="28">
        <v>0</v>
      </c>
      <c r="Z51" s="28">
        <v>17</v>
      </c>
      <c r="AA51" s="28">
        <v>-0.30199999999999999</v>
      </c>
      <c r="AB51" s="28">
        <v>0.7</v>
      </c>
      <c r="AC51" s="28">
        <v>6.32</v>
      </c>
      <c r="AD51" s="28">
        <v>1E-4</v>
      </c>
      <c r="AE51" s="28">
        <v>-0.99</v>
      </c>
    </row>
    <row r="52" spans="1:31" x14ac:dyDescent="0.25">
      <c r="A52" s="28">
        <v>0.01</v>
      </c>
      <c r="B52" s="28">
        <v>1E-4</v>
      </c>
      <c r="C52" s="28">
        <v>6.36</v>
      </c>
      <c r="D52" s="28">
        <v>0.65</v>
      </c>
      <c r="E52" s="28">
        <v>3.0000000000000001E-3</v>
      </c>
      <c r="F52" s="28">
        <v>4595</v>
      </c>
      <c r="G52" s="28">
        <v>1192</v>
      </c>
      <c r="H52" s="28">
        <v>62883</v>
      </c>
      <c r="I52" s="28">
        <v>12.16</v>
      </c>
      <c r="J52" s="28">
        <v>0.95</v>
      </c>
      <c r="K52" s="28">
        <v>-29.63</v>
      </c>
      <c r="L52" s="28" t="s">
        <v>22</v>
      </c>
      <c r="M52" s="28">
        <v>0.95</v>
      </c>
      <c r="N52" s="28">
        <v>1</v>
      </c>
      <c r="O52" s="28" t="s">
        <v>22</v>
      </c>
      <c r="P52" s="29">
        <v>26350</v>
      </c>
      <c r="Q52" s="28" t="s">
        <v>22</v>
      </c>
      <c r="R52" s="28">
        <v>832.6</v>
      </c>
      <c r="S52" s="28">
        <v>930.5</v>
      </c>
      <c r="T52" s="28" t="s">
        <v>22</v>
      </c>
      <c r="U52" s="28">
        <v>-11.47</v>
      </c>
      <c r="V52" s="28">
        <v>855.45</v>
      </c>
      <c r="W52" s="28">
        <v>12.16</v>
      </c>
      <c r="X52" s="28">
        <v>56</v>
      </c>
      <c r="Y52" s="28">
        <v>2</v>
      </c>
      <c r="Z52" s="28">
        <v>7</v>
      </c>
      <c r="AA52" s="28">
        <v>-0.36</v>
      </c>
      <c r="AB52" s="28">
        <v>0.65</v>
      </c>
      <c r="AC52" s="28">
        <v>6.36</v>
      </c>
      <c r="AD52" s="28">
        <v>1E-4</v>
      </c>
      <c r="AE52" s="28">
        <v>-0.99</v>
      </c>
    </row>
    <row r="53" spans="1:31" x14ac:dyDescent="0.25">
      <c r="A53" s="28">
        <v>0.01</v>
      </c>
      <c r="B53" s="28">
        <v>1E-4</v>
      </c>
      <c r="C53" s="28">
        <v>6.41</v>
      </c>
      <c r="D53" s="28">
        <v>0.6</v>
      </c>
      <c r="E53" s="28">
        <v>3.0000000000000001E-3</v>
      </c>
      <c r="F53" s="28">
        <v>56026</v>
      </c>
      <c r="G53" s="28">
        <v>36553</v>
      </c>
      <c r="H53" s="28">
        <v>257740</v>
      </c>
      <c r="I53" s="28">
        <v>12.67</v>
      </c>
      <c r="J53" s="28">
        <v>0.9</v>
      </c>
      <c r="K53" s="28">
        <v>-30.77</v>
      </c>
      <c r="L53" s="28" t="s">
        <v>22</v>
      </c>
      <c r="M53" s="28">
        <v>0.9</v>
      </c>
      <c r="N53" s="28">
        <v>1</v>
      </c>
      <c r="O53" s="28" t="s">
        <v>22</v>
      </c>
      <c r="P53" s="29">
        <v>26400</v>
      </c>
      <c r="Q53" s="28" t="s">
        <v>22</v>
      </c>
      <c r="R53" s="28">
        <v>878.85</v>
      </c>
      <c r="S53" s="28">
        <v>974.85</v>
      </c>
      <c r="T53" s="28" t="s">
        <v>22</v>
      </c>
      <c r="U53" s="28">
        <v>-8.51</v>
      </c>
      <c r="V53" s="28">
        <v>930.4</v>
      </c>
      <c r="W53" s="28">
        <v>12.67</v>
      </c>
      <c r="X53" s="28">
        <v>64</v>
      </c>
      <c r="Y53" s="28">
        <v>6</v>
      </c>
      <c r="Z53" s="28">
        <v>40</v>
      </c>
      <c r="AA53" s="28">
        <v>-0.36099999999999999</v>
      </c>
      <c r="AB53" s="28">
        <v>0.6</v>
      </c>
      <c r="AC53" s="28">
        <v>6.41</v>
      </c>
      <c r="AD53" s="28">
        <v>1E-4</v>
      </c>
      <c r="AE53" s="28">
        <v>-0.99</v>
      </c>
    </row>
    <row r="54" spans="1:31" x14ac:dyDescent="0.25">
      <c r="A54" s="28">
        <v>0.01</v>
      </c>
      <c r="B54" s="28">
        <v>0</v>
      </c>
      <c r="C54" s="28">
        <v>6.42</v>
      </c>
      <c r="D54" s="28">
        <v>0.57999999999999996</v>
      </c>
      <c r="E54" s="28">
        <v>2E-3</v>
      </c>
      <c r="F54" s="28">
        <v>4793</v>
      </c>
      <c r="G54" s="28">
        <v>952</v>
      </c>
      <c r="H54" s="28">
        <v>68298</v>
      </c>
      <c r="I54" s="28">
        <v>13.25</v>
      </c>
      <c r="J54" s="28">
        <v>0.9</v>
      </c>
      <c r="K54" s="28">
        <v>-25</v>
      </c>
      <c r="L54" s="28" t="s">
        <v>22</v>
      </c>
      <c r="M54" s="28">
        <v>0.85</v>
      </c>
      <c r="N54" s="28">
        <v>0.9</v>
      </c>
      <c r="O54" s="28" t="s">
        <v>22</v>
      </c>
      <c r="P54" s="29">
        <v>26450</v>
      </c>
      <c r="Q54" s="28" t="s">
        <v>22</v>
      </c>
      <c r="R54" s="28">
        <v>924.75</v>
      </c>
      <c r="S54" s="28">
        <v>1028.3</v>
      </c>
      <c r="T54" s="28" t="s">
        <v>22</v>
      </c>
      <c r="U54" s="28">
        <v>0</v>
      </c>
      <c r="V54" s="28">
        <v>1065.25</v>
      </c>
      <c r="W54" s="28">
        <v>13.25</v>
      </c>
      <c r="X54" s="28">
        <v>0</v>
      </c>
      <c r="Y54" s="28">
        <v>0</v>
      </c>
      <c r="Z54" s="28">
        <v>6</v>
      </c>
      <c r="AA54" s="28">
        <v>-0.309</v>
      </c>
      <c r="AB54" s="28">
        <v>0.57999999999999996</v>
      </c>
      <c r="AC54" s="28">
        <v>6.42</v>
      </c>
      <c r="AD54" s="28">
        <v>0</v>
      </c>
      <c r="AE54" s="28">
        <v>-0.99</v>
      </c>
    </row>
    <row r="55" spans="1:31" x14ac:dyDescent="0.25">
      <c r="A55" s="28">
        <v>0.01</v>
      </c>
      <c r="B55" s="28">
        <v>0</v>
      </c>
      <c r="C55" s="28">
        <v>6.43</v>
      </c>
      <c r="D55" s="28">
        <v>0.56000000000000005</v>
      </c>
      <c r="E55" s="28">
        <v>2E-3</v>
      </c>
      <c r="F55" s="28">
        <v>87412</v>
      </c>
      <c r="G55" s="28">
        <v>9377</v>
      </c>
      <c r="H55" s="28">
        <v>505809</v>
      </c>
      <c r="I55" s="28">
        <v>13.82</v>
      </c>
      <c r="J55" s="28">
        <v>0.9</v>
      </c>
      <c r="K55" s="28">
        <v>-18.18</v>
      </c>
      <c r="L55" s="28" t="s">
        <v>22</v>
      </c>
      <c r="M55" s="28">
        <v>0.85</v>
      </c>
      <c r="N55" s="28">
        <v>0.9</v>
      </c>
      <c r="O55" s="28" t="s">
        <v>22</v>
      </c>
      <c r="P55" s="29">
        <v>26500</v>
      </c>
      <c r="Q55" s="28" t="s">
        <v>22</v>
      </c>
      <c r="R55" s="28">
        <v>1026.5</v>
      </c>
      <c r="S55" s="28">
        <v>1035.8499999999999</v>
      </c>
      <c r="T55" s="28" t="s">
        <v>22</v>
      </c>
      <c r="U55" s="28">
        <v>-7.99</v>
      </c>
      <c r="V55" s="28">
        <v>1025.0999999999999</v>
      </c>
      <c r="W55" s="28">
        <v>13.82</v>
      </c>
      <c r="X55" s="28">
        <v>309</v>
      </c>
      <c r="Y55" s="28">
        <v>-11</v>
      </c>
      <c r="Z55" s="28">
        <v>201</v>
      </c>
      <c r="AA55" s="28">
        <v>-0.36299999999999999</v>
      </c>
      <c r="AB55" s="28">
        <v>0.56000000000000005</v>
      </c>
      <c r="AC55" s="28">
        <v>6.43</v>
      </c>
      <c r="AD55" s="28">
        <v>0</v>
      </c>
      <c r="AE55" s="28">
        <v>-0.99</v>
      </c>
    </row>
    <row r="56" spans="1:31" x14ac:dyDescent="0.25">
      <c r="A56" s="28">
        <v>0.01</v>
      </c>
      <c r="B56" s="28">
        <v>0</v>
      </c>
      <c r="C56" s="28">
        <v>6.55</v>
      </c>
      <c r="D56" s="28">
        <v>0.48</v>
      </c>
      <c r="E56" s="28">
        <v>2E-3</v>
      </c>
      <c r="F56" s="28">
        <v>16641</v>
      </c>
      <c r="G56" s="28">
        <v>752</v>
      </c>
      <c r="H56" s="28">
        <v>82969</v>
      </c>
      <c r="I56" s="28">
        <v>14.1</v>
      </c>
      <c r="J56" s="28">
        <v>0.75</v>
      </c>
      <c r="K56" s="28">
        <v>-16.670000000000002</v>
      </c>
      <c r="L56" s="28" t="s">
        <v>22</v>
      </c>
      <c r="M56" s="28">
        <v>0.7</v>
      </c>
      <c r="N56" s="28">
        <v>0.75</v>
      </c>
      <c r="O56" s="28" t="s">
        <v>22</v>
      </c>
      <c r="P56" s="29">
        <v>26550</v>
      </c>
      <c r="Q56" s="28" t="s">
        <v>22</v>
      </c>
      <c r="R56" s="28">
        <v>1024.5999999999999</v>
      </c>
      <c r="S56" s="28">
        <v>1128.05</v>
      </c>
      <c r="T56" s="28" t="s">
        <v>22</v>
      </c>
      <c r="U56" s="28">
        <v>0</v>
      </c>
      <c r="V56" s="28">
        <v>1690.05</v>
      </c>
      <c r="W56" s="28">
        <v>14.1</v>
      </c>
      <c r="X56" s="28">
        <v>0</v>
      </c>
      <c r="Y56" s="28">
        <v>0</v>
      </c>
      <c r="Z56" s="28">
        <v>5</v>
      </c>
      <c r="AA56" s="28">
        <v>-0.246</v>
      </c>
      <c r="AB56" s="28">
        <v>0.48</v>
      </c>
      <c r="AC56" s="28">
        <v>6.55</v>
      </c>
      <c r="AD56" s="28">
        <v>0</v>
      </c>
      <c r="AE56" s="28">
        <v>-0.99</v>
      </c>
    </row>
    <row r="57" spans="1:31" x14ac:dyDescent="0.25">
      <c r="A57" s="28">
        <v>0</v>
      </c>
      <c r="B57" s="28">
        <v>0</v>
      </c>
      <c r="C57" s="28">
        <v>6.64</v>
      </c>
      <c r="D57" s="28">
        <v>0.42</v>
      </c>
      <c r="E57" s="28">
        <v>2E-3</v>
      </c>
      <c r="F57" s="28">
        <v>34100</v>
      </c>
      <c r="G57" s="28">
        <v>4969</v>
      </c>
      <c r="H57" s="28">
        <v>207269</v>
      </c>
      <c r="I57" s="28">
        <v>14.43</v>
      </c>
      <c r="J57" s="28">
        <v>0.65</v>
      </c>
      <c r="K57" s="28">
        <v>-23.53</v>
      </c>
      <c r="L57" s="28" t="s">
        <v>22</v>
      </c>
      <c r="M57" s="28">
        <v>0.65</v>
      </c>
      <c r="N57" s="28">
        <v>0.7</v>
      </c>
      <c r="O57" s="28" t="s">
        <v>22</v>
      </c>
      <c r="P57" s="29">
        <v>26600</v>
      </c>
      <c r="Q57" s="28" t="s">
        <v>22</v>
      </c>
      <c r="R57" s="28">
        <v>1072.7</v>
      </c>
      <c r="S57" s="28">
        <v>1180.5999999999999</v>
      </c>
      <c r="T57" s="28" t="s">
        <v>22</v>
      </c>
      <c r="U57" s="28">
        <v>-7</v>
      </c>
      <c r="V57" s="28">
        <v>1129.75</v>
      </c>
      <c r="W57" s="28">
        <v>14.43</v>
      </c>
      <c r="X57" s="28">
        <v>3</v>
      </c>
      <c r="Y57" s="28">
        <v>1</v>
      </c>
      <c r="Z57" s="28">
        <v>5</v>
      </c>
      <c r="AA57" s="28">
        <v>-0.36399999999999999</v>
      </c>
      <c r="AB57" s="28">
        <v>0.42</v>
      </c>
      <c r="AC57" s="28">
        <v>6.64</v>
      </c>
      <c r="AD57" s="28">
        <v>0</v>
      </c>
      <c r="AE57" s="28">
        <v>-1</v>
      </c>
    </row>
    <row r="58" spans="1:31" x14ac:dyDescent="0.25">
      <c r="A58" s="28">
        <v>0</v>
      </c>
      <c r="B58" s="28">
        <v>0</v>
      </c>
      <c r="C58" s="28">
        <v>6.61</v>
      </c>
      <c r="D58" s="28">
        <v>0.43</v>
      </c>
      <c r="E58" s="28">
        <v>2E-3</v>
      </c>
      <c r="F58" s="28">
        <v>9542</v>
      </c>
      <c r="G58" s="28">
        <v>1426</v>
      </c>
      <c r="H58" s="28">
        <v>47078</v>
      </c>
      <c r="I58" s="28">
        <v>15.1</v>
      </c>
      <c r="J58" s="28">
        <v>0.7</v>
      </c>
      <c r="K58" s="28">
        <v>-12.5</v>
      </c>
      <c r="L58" s="28" t="s">
        <v>22</v>
      </c>
      <c r="M58" s="28">
        <v>0.65</v>
      </c>
      <c r="N58" s="28">
        <v>0.7</v>
      </c>
      <c r="O58" s="28" t="s">
        <v>22</v>
      </c>
      <c r="P58" s="29">
        <v>26650</v>
      </c>
      <c r="Q58" s="28" t="s">
        <v>22</v>
      </c>
      <c r="R58" s="28">
        <v>1127.5</v>
      </c>
      <c r="S58" s="28">
        <v>1286.8499999999999</v>
      </c>
      <c r="T58" s="28" t="s">
        <v>22</v>
      </c>
      <c r="U58" s="28">
        <v>0</v>
      </c>
      <c r="V58" s="28">
        <v>1279.5999999999999</v>
      </c>
      <c r="W58" s="28">
        <v>15.1</v>
      </c>
      <c r="X58" s="28">
        <v>0</v>
      </c>
      <c r="Y58" s="28">
        <v>0</v>
      </c>
      <c r="Z58" s="28">
        <v>6</v>
      </c>
      <c r="AA58" s="28">
        <v>-0.312</v>
      </c>
      <c r="AB58" s="28">
        <v>0.43</v>
      </c>
      <c r="AC58" s="28">
        <v>6.61</v>
      </c>
      <c r="AD58" s="28">
        <v>0</v>
      </c>
      <c r="AE58" s="28">
        <v>-1</v>
      </c>
    </row>
    <row r="59" spans="1:31" x14ac:dyDescent="0.25">
      <c r="A59" s="28">
        <v>0</v>
      </c>
      <c r="B59" s="28">
        <v>0</v>
      </c>
      <c r="C59" s="28">
        <v>6.71</v>
      </c>
      <c r="D59" s="28">
        <v>0.37</v>
      </c>
      <c r="E59" s="28">
        <v>1E-3</v>
      </c>
      <c r="F59" s="28">
        <v>27949</v>
      </c>
      <c r="G59" s="28">
        <v>-75</v>
      </c>
      <c r="H59" s="28">
        <v>75186</v>
      </c>
      <c r="I59" s="28">
        <v>15.4</v>
      </c>
      <c r="J59" s="28">
        <v>0.6</v>
      </c>
      <c r="K59" s="28">
        <v>-20</v>
      </c>
      <c r="L59" s="28" t="s">
        <v>22</v>
      </c>
      <c r="M59" s="28">
        <v>0.6</v>
      </c>
      <c r="N59" s="28">
        <v>0.65</v>
      </c>
      <c r="O59" s="28" t="s">
        <v>22</v>
      </c>
      <c r="P59" s="29">
        <v>26700</v>
      </c>
      <c r="Q59" s="28" t="s">
        <v>22</v>
      </c>
      <c r="R59" s="28">
        <v>1176.3</v>
      </c>
      <c r="S59" s="28">
        <v>1272.1500000000001</v>
      </c>
      <c r="T59" s="28" t="s">
        <v>22</v>
      </c>
      <c r="U59" s="28">
        <v>0</v>
      </c>
      <c r="V59" s="28">
        <v>1641.7</v>
      </c>
      <c r="W59" s="28">
        <v>15.4</v>
      </c>
      <c r="X59" s="28">
        <v>0</v>
      </c>
      <c r="Y59" s="28">
        <v>0</v>
      </c>
      <c r="Z59" s="28">
        <v>5</v>
      </c>
      <c r="AA59" s="28">
        <v>-0.26500000000000001</v>
      </c>
      <c r="AB59" s="28">
        <v>0.37</v>
      </c>
      <c r="AC59" s="28">
        <v>6.71</v>
      </c>
      <c r="AD59" s="28">
        <v>0</v>
      </c>
      <c r="AE59" s="28">
        <v>-1</v>
      </c>
    </row>
    <row r="60" spans="1:31" x14ac:dyDescent="0.25">
      <c r="A60" s="28">
        <v>0</v>
      </c>
      <c r="B60" s="28">
        <v>0</v>
      </c>
      <c r="C60" s="28">
        <v>6.72</v>
      </c>
      <c r="D60" s="28">
        <v>0.36</v>
      </c>
      <c r="E60" s="28">
        <v>1E-3</v>
      </c>
      <c r="F60" s="28">
        <v>4773</v>
      </c>
      <c r="G60" s="28">
        <v>-186</v>
      </c>
      <c r="H60" s="28">
        <v>17780</v>
      </c>
      <c r="I60" s="28">
        <v>15.94</v>
      </c>
      <c r="J60" s="28">
        <v>0.6</v>
      </c>
      <c r="K60" s="28">
        <v>-20</v>
      </c>
      <c r="L60" s="28" t="s">
        <v>22</v>
      </c>
      <c r="M60" s="28">
        <v>0.6</v>
      </c>
      <c r="N60" s="28">
        <v>0.65</v>
      </c>
      <c r="O60" s="28" t="s">
        <v>22</v>
      </c>
      <c r="P60" s="29">
        <v>26750</v>
      </c>
      <c r="Q60" s="28" t="s">
        <v>22</v>
      </c>
      <c r="R60" s="28">
        <v>1222.8499999999999</v>
      </c>
      <c r="S60" s="28">
        <v>1329.55</v>
      </c>
      <c r="T60" s="28" t="s">
        <v>22</v>
      </c>
      <c r="U60" s="28">
        <v>0</v>
      </c>
      <c r="V60" s="28">
        <v>1381.1</v>
      </c>
      <c r="W60" s="28">
        <v>15.94</v>
      </c>
      <c r="X60" s="28">
        <v>0</v>
      </c>
      <c r="Y60" s="28">
        <v>0</v>
      </c>
      <c r="Z60" s="28">
        <v>6</v>
      </c>
      <c r="AA60" s="28">
        <v>-0.315</v>
      </c>
      <c r="AB60" s="28">
        <v>0.36</v>
      </c>
      <c r="AC60" s="28">
        <v>6.72</v>
      </c>
      <c r="AD60" s="28">
        <v>0</v>
      </c>
      <c r="AE60" s="28">
        <v>-1</v>
      </c>
    </row>
    <row r="61" spans="1:31" x14ac:dyDescent="0.25">
      <c r="A61" s="28">
        <v>0</v>
      </c>
      <c r="B61" s="28">
        <v>0</v>
      </c>
      <c r="C61" s="28">
        <v>6.77</v>
      </c>
      <c r="D61" s="28">
        <v>0.33</v>
      </c>
      <c r="E61" s="28">
        <v>1E-3</v>
      </c>
      <c r="F61" s="28">
        <v>40119</v>
      </c>
      <c r="G61" s="28">
        <v>-438</v>
      </c>
      <c r="H61" s="28">
        <v>100573</v>
      </c>
      <c r="I61" s="28">
        <v>16.329999999999998</v>
      </c>
      <c r="J61" s="28">
        <v>0.55000000000000004</v>
      </c>
      <c r="K61" s="28">
        <v>-21.43</v>
      </c>
      <c r="L61" s="28" t="s">
        <v>22</v>
      </c>
      <c r="M61" s="28">
        <v>0.55000000000000004</v>
      </c>
      <c r="N61" s="28">
        <v>0.6</v>
      </c>
      <c r="O61" s="28" t="s">
        <v>22</v>
      </c>
      <c r="P61" s="29">
        <v>26800</v>
      </c>
      <c r="Q61" s="28" t="s">
        <v>22</v>
      </c>
      <c r="R61" s="28">
        <v>1274.0999999999999</v>
      </c>
      <c r="S61" s="28">
        <v>1337.45</v>
      </c>
      <c r="T61" s="28" t="s">
        <v>22</v>
      </c>
      <c r="U61" s="28">
        <v>-6.39</v>
      </c>
      <c r="V61" s="28">
        <v>1324.35</v>
      </c>
      <c r="W61" s="28">
        <v>16.329999999999998</v>
      </c>
      <c r="X61" s="28">
        <v>16</v>
      </c>
      <c r="Y61" s="28">
        <v>-7</v>
      </c>
      <c r="Z61" s="28">
        <v>54</v>
      </c>
      <c r="AA61" s="28">
        <v>-0.36699999999999999</v>
      </c>
      <c r="AB61" s="28">
        <v>0.33</v>
      </c>
      <c r="AC61" s="28">
        <v>6.77</v>
      </c>
      <c r="AD61" s="28">
        <v>0</v>
      </c>
      <c r="AE61" s="28">
        <v>-1</v>
      </c>
    </row>
    <row r="62" spans="1:31" x14ac:dyDescent="0.25">
      <c r="A62" s="28">
        <v>0</v>
      </c>
      <c r="B62" s="28">
        <v>0</v>
      </c>
      <c r="C62" s="28">
        <v>6.74</v>
      </c>
      <c r="D62" s="28">
        <v>0.34</v>
      </c>
      <c r="E62" s="28">
        <v>1E-3</v>
      </c>
      <c r="F62" s="28">
        <v>11758</v>
      </c>
      <c r="G62" s="28">
        <v>1948</v>
      </c>
      <c r="H62" s="28">
        <v>52698</v>
      </c>
      <c r="I62" s="28">
        <v>17.010000000000002</v>
      </c>
      <c r="J62" s="28">
        <v>0.6</v>
      </c>
      <c r="K62" s="28">
        <v>-14.29</v>
      </c>
      <c r="L62" s="28" t="s">
        <v>22</v>
      </c>
      <c r="M62" s="28">
        <v>0.55000000000000004</v>
      </c>
      <c r="N62" s="28">
        <v>0.6</v>
      </c>
      <c r="O62" s="28" t="s">
        <v>22</v>
      </c>
      <c r="P62" s="29">
        <v>26850</v>
      </c>
      <c r="Q62" s="28" t="s">
        <v>22</v>
      </c>
      <c r="R62" s="28">
        <v>1322.15</v>
      </c>
      <c r="S62" s="28">
        <v>1504.05</v>
      </c>
      <c r="T62" s="28" t="s">
        <v>22</v>
      </c>
      <c r="U62" s="28">
        <v>-0.94</v>
      </c>
      <c r="V62" s="28">
        <v>1529.7</v>
      </c>
      <c r="W62" s="28">
        <v>17.010000000000002</v>
      </c>
      <c r="X62" s="28">
        <v>0</v>
      </c>
      <c r="Y62" s="28">
        <v>0</v>
      </c>
      <c r="Z62" s="28">
        <v>44</v>
      </c>
      <c r="AA62" s="28">
        <v>-0.30599999999999999</v>
      </c>
      <c r="AB62" s="28">
        <v>0.34</v>
      </c>
      <c r="AC62" s="28">
        <v>6.74</v>
      </c>
      <c r="AD62" s="28">
        <v>0</v>
      </c>
      <c r="AE62" s="28">
        <v>-1</v>
      </c>
    </row>
    <row r="63" spans="1:31" x14ac:dyDescent="0.25">
      <c r="A63" s="28">
        <v>0</v>
      </c>
      <c r="B63" s="28">
        <v>0</v>
      </c>
      <c r="C63" s="28">
        <v>6.75</v>
      </c>
      <c r="D63" s="28">
        <v>0.33</v>
      </c>
      <c r="E63" s="28">
        <v>1E-3</v>
      </c>
      <c r="F63" s="28">
        <v>2038</v>
      </c>
      <c r="G63" s="28">
        <v>7</v>
      </c>
      <c r="H63" s="28">
        <v>13489</v>
      </c>
      <c r="I63" s="28">
        <v>17.54</v>
      </c>
      <c r="J63" s="28">
        <v>0.6</v>
      </c>
      <c r="K63" s="28">
        <v>-14.29</v>
      </c>
      <c r="L63" s="28" t="s">
        <v>22</v>
      </c>
      <c r="M63" s="28">
        <v>0.55000000000000004</v>
      </c>
      <c r="N63" s="28">
        <v>0.6</v>
      </c>
      <c r="O63" s="28" t="s">
        <v>22</v>
      </c>
      <c r="P63" s="29">
        <v>26900</v>
      </c>
      <c r="Q63" s="28" t="s">
        <v>22</v>
      </c>
      <c r="R63" s="28">
        <v>1242.8</v>
      </c>
      <c r="S63" s="28">
        <v>1586.75</v>
      </c>
      <c r="T63" s="28" t="s">
        <v>22</v>
      </c>
      <c r="U63" s="28">
        <v>-10.220000000000001</v>
      </c>
      <c r="V63" s="28">
        <v>1543.7</v>
      </c>
      <c r="W63" s="28">
        <v>17.54</v>
      </c>
      <c r="X63" s="28">
        <v>0</v>
      </c>
      <c r="Y63" s="28">
        <v>0</v>
      </c>
      <c r="Z63" s="28">
        <v>0</v>
      </c>
      <c r="AA63" s="28">
        <v>-0.316</v>
      </c>
      <c r="AB63" s="28">
        <v>0.33</v>
      </c>
      <c r="AC63" s="28">
        <v>6.75</v>
      </c>
      <c r="AD63" s="28">
        <v>0</v>
      </c>
      <c r="AE63" s="28">
        <v>-1</v>
      </c>
    </row>
    <row r="64" spans="1:3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</row>
    <row r="65" spans="1:3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</row>
    <row r="66" spans="1:3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  <row r="110" spans="1:31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</row>
    <row r="111" spans="1:31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</row>
    <row r="112" spans="1:3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</row>
    <row r="113" spans="1:31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</row>
    <row r="114" spans="1:31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</row>
    <row r="115" spans="1:31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</row>
    <row r="116" spans="1:31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</row>
    <row r="117" spans="1:31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</row>
    <row r="118" spans="1:31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</row>
    <row r="119" spans="1:31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</row>
    <row r="120" spans="1:31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</row>
    <row r="121" spans="1:31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</row>
    <row r="122" spans="1:31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</row>
    <row r="123" spans="1:31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</row>
    <row r="124" spans="1:31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</row>
    <row r="125" spans="1:31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</row>
    <row r="126" spans="1:31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</row>
    <row r="127" spans="1:31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</row>
    <row r="128" spans="1:31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</row>
    <row r="129" spans="1:31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</row>
    <row r="130" spans="1:31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</row>
    <row r="131" spans="1:31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</row>
    <row r="132" spans="1:31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</row>
    <row r="133" spans="1:31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</row>
    <row r="134" spans="1:31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</row>
    <row r="135" spans="1:31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</row>
    <row r="136" spans="1:31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</row>
    <row r="137" spans="1:31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</row>
    <row r="138" spans="1:31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</row>
    <row r="139" spans="1:31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</row>
    <row r="140" spans="1:31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</row>
    <row r="141" spans="1:31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</row>
    <row r="142" spans="1:31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</row>
    <row r="143" spans="1:31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</row>
    <row r="144" spans="1:31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</row>
    <row r="145" spans="1:31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</row>
    <row r="146" spans="1:31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</row>
    <row r="147" spans="1:31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</row>
    <row r="148" spans="1:31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</row>
    <row r="149" spans="1:31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</row>
    <row r="150" spans="1:31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</row>
    <row r="151" spans="1:31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</row>
    <row r="152" spans="1:31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</row>
    <row r="153" spans="1:31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</row>
    <row r="154" spans="1:31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</row>
    <row r="155" spans="1:31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</row>
    <row r="156" spans="1:31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</row>
    <row r="157" spans="1:31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</row>
    <row r="158" spans="1:31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</row>
    <row r="159" spans="1:31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</row>
    <row r="160" spans="1:31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</row>
    <row r="161" spans="1:31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</row>
    <row r="162" spans="1:31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</row>
    <row r="163" spans="1:31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</row>
    <row r="164" spans="1:31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</row>
    <row r="165" spans="1:31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</row>
    <row r="166" spans="1:31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</row>
    <row r="167" spans="1:31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</row>
    <row r="168" spans="1:31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</row>
    <row r="169" spans="1:31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</row>
    <row r="170" spans="1:31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</row>
    <row r="171" spans="1:31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</row>
    <row r="172" spans="1:31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</row>
    <row r="173" spans="1:31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</row>
    <row r="174" spans="1:31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</row>
    <row r="175" spans="1:31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</row>
    <row r="176" spans="1:31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</row>
    <row r="177" spans="1:31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</row>
    <row r="178" spans="1:31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</row>
    <row r="179" spans="1:31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</row>
    <row r="180" spans="1:31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</row>
    <row r="181" spans="1:31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</row>
    <row r="182" spans="1:31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</row>
    <row r="183" spans="1:31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</row>
    <row r="184" spans="1:31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</row>
    <row r="185" spans="1:31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</row>
    <row r="186" spans="1:31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</row>
    <row r="187" spans="1:31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</row>
    <row r="188" spans="1:31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</row>
    <row r="189" spans="1:31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</row>
    <row r="190" spans="1:31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</row>
    <row r="191" spans="1:31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</row>
    <row r="192" spans="1:31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</row>
    <row r="193" spans="1:31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</row>
    <row r="194" spans="1:31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</row>
    <row r="195" spans="1:31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</row>
    <row r="196" spans="1:31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</row>
    <row r="197" spans="1:31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</row>
    <row r="198" spans="1:31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</row>
    <row r="199" spans="1:31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</row>
    <row r="200" spans="1:31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</row>
    <row r="201" spans="1:31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</row>
    <row r="202" spans="1:31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</row>
    <row r="203" spans="1:31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</row>
    <row r="204" spans="1:31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</row>
    <row r="205" spans="1:31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</row>
    <row r="206" spans="1:31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</row>
    <row r="207" spans="1:31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</row>
    <row r="208" spans="1:31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</row>
    <row r="209" spans="1:31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</row>
    <row r="210" spans="1:31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</row>
    <row r="211" spans="1:31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</row>
    <row r="212" spans="1:31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</row>
    <row r="213" spans="1:31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</row>
    <row r="214" spans="1:31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</row>
    <row r="215" spans="1:31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</row>
    <row r="216" spans="1:31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</row>
    <row r="217" spans="1:31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</row>
    <row r="218" spans="1:31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</row>
    <row r="219" spans="1:31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</row>
    <row r="220" spans="1:31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</row>
    <row r="221" spans="1:31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</row>
    <row r="222" spans="1:31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</row>
    <row r="223" spans="1:31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</row>
    <row r="224" spans="1:31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</row>
    <row r="225" spans="1:31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</row>
    <row r="226" spans="1:31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</row>
    <row r="227" spans="1:31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</row>
    <row r="228" spans="1:31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</row>
    <row r="229" spans="1:31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</row>
    <row r="230" spans="1:31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</row>
    <row r="231" spans="1:31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</row>
    <row r="232" spans="1:31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</row>
    <row r="233" spans="1:31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</row>
    <row r="234" spans="1:31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</row>
    <row r="235" spans="1:31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</row>
    <row r="236" spans="1:31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</row>
    <row r="237" spans="1:31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</row>
    <row r="238" spans="1:31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</row>
    <row r="239" spans="1:31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</row>
    <row r="240" spans="1:31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</row>
    <row r="241" spans="1:31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</row>
    <row r="242" spans="1:31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</row>
    <row r="243" spans="1:31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</row>
    <row r="244" spans="1:31" x14ac:dyDescent="0.2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</row>
    <row r="245" spans="1:31" x14ac:dyDescent="0.2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</row>
    <row r="246" spans="1:31" x14ac:dyDescent="0.2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</row>
    <row r="247" spans="1:31" x14ac:dyDescent="0.2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</row>
    <row r="248" spans="1:31" x14ac:dyDescent="0.2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</row>
    <row r="249" spans="1:31" x14ac:dyDescent="0.2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</row>
    <row r="250" spans="1:31" x14ac:dyDescent="0.2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</row>
    <row r="251" spans="1:31" x14ac:dyDescent="0.2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</row>
    <row r="252" spans="1:31" x14ac:dyDescent="0.2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</row>
    <row r="253" spans="1:31" x14ac:dyDescent="0.2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</row>
    <row r="254" spans="1:31" x14ac:dyDescent="0.2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</row>
    <row r="255" spans="1:31" x14ac:dyDescent="0.2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</row>
    <row r="256" spans="1:31" x14ac:dyDescent="0.2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</row>
    <row r="257" spans="1:31" x14ac:dyDescent="0.2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</row>
    <row r="258" spans="1:31" x14ac:dyDescent="0.2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</row>
    <row r="259" spans="1:31" x14ac:dyDescent="0.2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</row>
    <row r="260" spans="1:31" x14ac:dyDescent="0.2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</row>
    <row r="261" spans="1:31" x14ac:dyDescent="0.2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</row>
    <row r="262" spans="1:31" x14ac:dyDescent="0.2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</row>
    <row r="263" spans="1:31" x14ac:dyDescent="0.2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</row>
    <row r="264" spans="1:31" x14ac:dyDescent="0.2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</row>
    <row r="265" spans="1:31" x14ac:dyDescent="0.2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</row>
    <row r="266" spans="1:31" x14ac:dyDescent="0.2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</row>
    <row r="267" spans="1:31" x14ac:dyDescent="0.2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</row>
    <row r="268" spans="1:31" x14ac:dyDescent="0.2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</row>
    <row r="269" spans="1:31" x14ac:dyDescent="0.2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</row>
    <row r="270" spans="1:31" x14ac:dyDescent="0.2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</row>
    <row r="271" spans="1:31" x14ac:dyDescent="0.2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</row>
    <row r="272" spans="1:31" x14ac:dyDescent="0.2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</row>
    <row r="273" spans="1:31" x14ac:dyDescent="0.2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</row>
    <row r="274" spans="1:31" x14ac:dyDescent="0.2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</row>
    <row r="275" spans="1:31" x14ac:dyDescent="0.2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</row>
    <row r="276" spans="1:31" x14ac:dyDescent="0.2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</row>
    <row r="277" spans="1:31" x14ac:dyDescent="0.2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</row>
    <row r="278" spans="1:31" x14ac:dyDescent="0.2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</row>
    <row r="279" spans="1:31" x14ac:dyDescent="0.2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</row>
    <row r="280" spans="1:31" x14ac:dyDescent="0.2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</row>
    <row r="281" spans="1:31" x14ac:dyDescent="0.2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</row>
    <row r="282" spans="1:31" x14ac:dyDescent="0.2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</row>
    <row r="283" spans="1:31" x14ac:dyDescent="0.2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</row>
    <row r="284" spans="1:31" x14ac:dyDescent="0.2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</row>
    <row r="285" spans="1:31" x14ac:dyDescent="0.2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</row>
    <row r="286" spans="1:31" x14ac:dyDescent="0.2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</row>
    <row r="287" spans="1:31" x14ac:dyDescent="0.2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</row>
    <row r="288" spans="1:31" x14ac:dyDescent="0.2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</row>
    <row r="289" spans="1:31" x14ac:dyDescent="0.2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</row>
    <row r="290" spans="1:31" x14ac:dyDescent="0.2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</row>
    <row r="291" spans="1:31" x14ac:dyDescent="0.2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</row>
    <row r="292" spans="1:31" x14ac:dyDescent="0.2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</row>
    <row r="293" spans="1:31" x14ac:dyDescent="0.2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</row>
    <row r="294" spans="1:31" x14ac:dyDescent="0.2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</row>
    <row r="295" spans="1:31" x14ac:dyDescent="0.2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</row>
    <row r="296" spans="1:31" x14ac:dyDescent="0.2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</row>
    <row r="297" spans="1:31" x14ac:dyDescent="0.2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</row>
    <row r="298" spans="1:31" x14ac:dyDescent="0.2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</row>
    <row r="299" spans="1:31" x14ac:dyDescent="0.2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</row>
    <row r="300" spans="1:31" x14ac:dyDescent="0.2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</row>
    <row r="301" spans="1:31" x14ac:dyDescent="0.2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</row>
    <row r="302" spans="1:31" x14ac:dyDescent="0.2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</row>
    <row r="303" spans="1:31" x14ac:dyDescent="0.2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</row>
    <row r="304" spans="1:31" x14ac:dyDescent="0.2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</row>
    <row r="305" spans="1:31" x14ac:dyDescent="0.2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</row>
    <row r="306" spans="1:31" x14ac:dyDescent="0.2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</row>
    <row r="307" spans="1:31" x14ac:dyDescent="0.2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</row>
    <row r="308" spans="1:31" x14ac:dyDescent="0.2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</row>
    <row r="309" spans="1:31" x14ac:dyDescent="0.2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</row>
    <row r="310" spans="1:31" x14ac:dyDescent="0.2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</row>
    <row r="311" spans="1:31" x14ac:dyDescent="0.2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</row>
    <row r="312" spans="1:31" x14ac:dyDescent="0.2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</row>
    <row r="313" spans="1:31" x14ac:dyDescent="0.2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</row>
    <row r="314" spans="1:31" x14ac:dyDescent="0.2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</row>
    <row r="315" spans="1:31" x14ac:dyDescent="0.2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</row>
    <row r="316" spans="1:31" x14ac:dyDescent="0.2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</row>
    <row r="317" spans="1:31" x14ac:dyDescent="0.2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</row>
    <row r="318" spans="1:31" x14ac:dyDescent="0.2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</row>
    <row r="319" spans="1:31" x14ac:dyDescent="0.2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</row>
    <row r="320" spans="1:31" x14ac:dyDescent="0.2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</row>
    <row r="321" spans="1:31" x14ac:dyDescent="0.2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</row>
    <row r="322" spans="1:31" x14ac:dyDescent="0.2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</row>
    <row r="323" spans="1:31" x14ac:dyDescent="0.2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</row>
    <row r="324" spans="1:31" x14ac:dyDescent="0.2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</row>
    <row r="325" spans="1:31" x14ac:dyDescent="0.2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</row>
    <row r="326" spans="1:31" x14ac:dyDescent="0.2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</row>
    <row r="327" spans="1:31" x14ac:dyDescent="0.2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</row>
    <row r="328" spans="1:31" x14ac:dyDescent="0.2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</row>
    <row r="329" spans="1:31" x14ac:dyDescent="0.2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</row>
    <row r="330" spans="1:31" x14ac:dyDescent="0.2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</row>
    <row r="331" spans="1:31" x14ac:dyDescent="0.2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</row>
    <row r="332" spans="1:31" x14ac:dyDescent="0.2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</row>
    <row r="333" spans="1:31" x14ac:dyDescent="0.2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</row>
    <row r="334" spans="1:31" x14ac:dyDescent="0.2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</row>
    <row r="335" spans="1:31" x14ac:dyDescent="0.2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</row>
    <row r="336" spans="1:31" x14ac:dyDescent="0.2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</row>
    <row r="337" spans="1:31" x14ac:dyDescent="0.2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</row>
    <row r="338" spans="1:31" x14ac:dyDescent="0.2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</row>
    <row r="339" spans="1:31" x14ac:dyDescent="0.2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</row>
    <row r="340" spans="1:31" x14ac:dyDescent="0.2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</row>
    <row r="341" spans="1:31" x14ac:dyDescent="0.2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</row>
    <row r="342" spans="1:31" x14ac:dyDescent="0.2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</row>
    <row r="343" spans="1:31" x14ac:dyDescent="0.2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</row>
    <row r="344" spans="1:31" x14ac:dyDescent="0.2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</row>
    <row r="345" spans="1:31" x14ac:dyDescent="0.2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</row>
    <row r="346" spans="1:31" x14ac:dyDescent="0.2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</row>
    <row r="347" spans="1:31" x14ac:dyDescent="0.2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</row>
    <row r="348" spans="1:31" x14ac:dyDescent="0.2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</row>
    <row r="349" spans="1:31" x14ac:dyDescent="0.2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</row>
    <row r="350" spans="1:31" x14ac:dyDescent="0.2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</row>
    <row r="351" spans="1:31" x14ac:dyDescent="0.2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</row>
    <row r="352" spans="1:31" x14ac:dyDescent="0.2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</row>
    <row r="353" spans="1:31" x14ac:dyDescent="0.2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</row>
    <row r="354" spans="1:31" x14ac:dyDescent="0.2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</row>
    <row r="355" spans="1:31" x14ac:dyDescent="0.2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</row>
    <row r="356" spans="1:31" x14ac:dyDescent="0.2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</row>
    <row r="357" spans="1:31" x14ac:dyDescent="0.2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</row>
    <row r="358" spans="1:31" x14ac:dyDescent="0.2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</row>
    <row r="359" spans="1:31" x14ac:dyDescent="0.2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</row>
    <row r="360" spans="1:31" x14ac:dyDescent="0.2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</row>
    <row r="361" spans="1:31" x14ac:dyDescent="0.2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</row>
    <row r="362" spans="1:31" x14ac:dyDescent="0.2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</row>
    <row r="363" spans="1:31" x14ac:dyDescent="0.2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</row>
    <row r="364" spans="1:31" x14ac:dyDescent="0.2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</row>
    <row r="365" spans="1:31" x14ac:dyDescent="0.2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</row>
    <row r="366" spans="1:31" x14ac:dyDescent="0.2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</row>
    <row r="367" spans="1:31" x14ac:dyDescent="0.2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</row>
    <row r="368" spans="1:31" x14ac:dyDescent="0.2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</row>
    <row r="369" spans="1:31" x14ac:dyDescent="0.2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</row>
    <row r="370" spans="1:31" x14ac:dyDescent="0.2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</row>
    <row r="371" spans="1:31" x14ac:dyDescent="0.2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</row>
    <row r="372" spans="1:31" x14ac:dyDescent="0.2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</row>
    <row r="373" spans="1:31" x14ac:dyDescent="0.2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</row>
    <row r="374" spans="1:31" x14ac:dyDescent="0.2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</row>
    <row r="375" spans="1:31" x14ac:dyDescent="0.2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</row>
    <row r="376" spans="1:31" x14ac:dyDescent="0.2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</row>
    <row r="377" spans="1:31" x14ac:dyDescent="0.2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</row>
    <row r="378" spans="1:31" x14ac:dyDescent="0.2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</row>
    <row r="379" spans="1:31" x14ac:dyDescent="0.2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</row>
    <row r="380" spans="1:31" x14ac:dyDescent="0.2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</row>
    <row r="381" spans="1:31" x14ac:dyDescent="0.2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</row>
    <row r="382" spans="1:31" x14ac:dyDescent="0.2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</row>
    <row r="383" spans="1:31" x14ac:dyDescent="0.2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</row>
    <row r="384" spans="1:31" x14ac:dyDescent="0.2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</row>
    <row r="385" spans="1:31" x14ac:dyDescent="0.2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</row>
    <row r="386" spans="1:31" x14ac:dyDescent="0.2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</row>
    <row r="387" spans="1:31" x14ac:dyDescent="0.2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</row>
    <row r="388" spans="1:31" x14ac:dyDescent="0.2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</row>
    <row r="389" spans="1:31" x14ac:dyDescent="0.2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</row>
    <row r="390" spans="1:31" x14ac:dyDescent="0.2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</row>
    <row r="391" spans="1:31" x14ac:dyDescent="0.2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</row>
    <row r="392" spans="1:31" x14ac:dyDescent="0.2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</row>
    <row r="393" spans="1:31" x14ac:dyDescent="0.2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</row>
    <row r="394" spans="1:31" x14ac:dyDescent="0.2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</row>
    <row r="395" spans="1:31" x14ac:dyDescent="0.2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</row>
    <row r="396" spans="1:31" x14ac:dyDescent="0.2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</row>
    <row r="397" spans="1:31" x14ac:dyDescent="0.2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</row>
    <row r="398" spans="1:31" x14ac:dyDescent="0.2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</row>
    <row r="399" spans="1:31" x14ac:dyDescent="0.2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</row>
    <row r="400" spans="1:31" x14ac:dyDescent="0.2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</row>
    <row r="401" spans="1:31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</row>
    <row r="402" spans="1:31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</row>
    <row r="403" spans="1:31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</row>
    <row r="404" spans="1:31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</row>
    <row r="405" spans="1:31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</row>
    <row r="406" spans="1:31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</row>
    <row r="407" spans="1:31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</row>
    <row r="408" spans="1:31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</row>
    <row r="409" spans="1:31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</row>
    <row r="410" spans="1:31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</row>
    <row r="411" spans="1:31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</row>
    <row r="412" spans="1:31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</row>
    <row r="413" spans="1:31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</row>
    <row r="414" spans="1:31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</row>
    <row r="415" spans="1:31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</row>
    <row r="416" spans="1:31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</row>
    <row r="417" spans="1:31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</row>
    <row r="418" spans="1:31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</row>
    <row r="419" spans="1:31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</row>
    <row r="420" spans="1:31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</row>
    <row r="421" spans="1:31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</row>
    <row r="422" spans="1:31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</row>
    <row r="423" spans="1:31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</row>
    <row r="424" spans="1:31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</row>
    <row r="425" spans="1:31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</row>
    <row r="426" spans="1:31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</row>
    <row r="427" spans="1:31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</row>
    <row r="428" spans="1:31" x14ac:dyDescent="0.25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</row>
    <row r="429" spans="1:31" x14ac:dyDescent="0.25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</row>
    <row r="430" spans="1:31" x14ac:dyDescent="0.25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</row>
    <row r="431" spans="1:31" x14ac:dyDescent="0.25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</row>
    <row r="432" spans="1:31" x14ac:dyDescent="0.25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</row>
    <row r="433" spans="1:31" x14ac:dyDescent="0.25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</row>
    <row r="434" spans="1:31" x14ac:dyDescent="0.25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</row>
    <row r="435" spans="1:31" x14ac:dyDescent="0.25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</row>
    <row r="436" spans="1:31" x14ac:dyDescent="0.25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</row>
    <row r="437" spans="1:31" x14ac:dyDescent="0.25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</row>
    <row r="438" spans="1:31" x14ac:dyDescent="0.25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</row>
    <row r="439" spans="1:31" x14ac:dyDescent="0.25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</row>
    <row r="440" spans="1:31" x14ac:dyDescent="0.25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</row>
    <row r="441" spans="1:31" x14ac:dyDescent="0.25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</row>
    <row r="442" spans="1:31" x14ac:dyDescent="0.25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</row>
    <row r="443" spans="1:31" x14ac:dyDescent="0.25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</row>
    <row r="444" spans="1:31" x14ac:dyDescent="0.25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</row>
    <row r="445" spans="1:31" x14ac:dyDescent="0.25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</row>
    <row r="446" spans="1:31" x14ac:dyDescent="0.25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</row>
    <row r="447" spans="1:31" x14ac:dyDescent="0.25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</row>
    <row r="448" spans="1:31" x14ac:dyDescent="0.25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</row>
    <row r="449" spans="1:31" x14ac:dyDescent="0.25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</row>
    <row r="450" spans="1:31" x14ac:dyDescent="0.25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</row>
    <row r="451" spans="1:31" x14ac:dyDescent="0.25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</row>
    <row r="452" spans="1:31" x14ac:dyDescent="0.25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</row>
    <row r="453" spans="1:31" x14ac:dyDescent="0.25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</row>
    <row r="454" spans="1:31" x14ac:dyDescent="0.25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</row>
    <row r="455" spans="1:31" x14ac:dyDescent="0.25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</row>
    <row r="456" spans="1:31" x14ac:dyDescent="0.25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</row>
    <row r="457" spans="1:31" x14ac:dyDescent="0.25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</row>
    <row r="458" spans="1:31" x14ac:dyDescent="0.25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</row>
    <row r="459" spans="1:31" x14ac:dyDescent="0.25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</row>
    <row r="460" spans="1:31" x14ac:dyDescent="0.25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</row>
    <row r="461" spans="1:31" x14ac:dyDescent="0.25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</row>
    <row r="462" spans="1:31" x14ac:dyDescent="0.25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</row>
    <row r="463" spans="1:31" x14ac:dyDescent="0.25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</row>
    <row r="464" spans="1:31" x14ac:dyDescent="0.25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</row>
    <row r="465" spans="1:31" x14ac:dyDescent="0.25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</row>
    <row r="466" spans="1:31" x14ac:dyDescent="0.25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</row>
    <row r="467" spans="1:31" x14ac:dyDescent="0.25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</row>
    <row r="468" spans="1:31" x14ac:dyDescent="0.25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</row>
    <row r="469" spans="1:31" x14ac:dyDescent="0.25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</row>
    <row r="470" spans="1:31" x14ac:dyDescent="0.25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</row>
    <row r="471" spans="1:31" x14ac:dyDescent="0.25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</row>
    <row r="472" spans="1:31" x14ac:dyDescent="0.25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</row>
    <row r="473" spans="1:31" x14ac:dyDescent="0.25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</row>
    <row r="474" spans="1:31" x14ac:dyDescent="0.25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</row>
    <row r="475" spans="1:31" x14ac:dyDescent="0.25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</row>
    <row r="476" spans="1:31" x14ac:dyDescent="0.25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</row>
    <row r="477" spans="1:31" x14ac:dyDescent="0.25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</row>
    <row r="478" spans="1:31" x14ac:dyDescent="0.25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</row>
    <row r="479" spans="1:31" x14ac:dyDescent="0.25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</row>
    <row r="480" spans="1:31" x14ac:dyDescent="0.25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</row>
    <row r="481" spans="1:31" x14ac:dyDescent="0.25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</row>
    <row r="482" spans="1:31" x14ac:dyDescent="0.25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</row>
    <row r="483" spans="1:31" x14ac:dyDescent="0.25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</row>
    <row r="484" spans="1:31" x14ac:dyDescent="0.25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</row>
    <row r="485" spans="1:31" x14ac:dyDescent="0.25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</row>
    <row r="486" spans="1:31" x14ac:dyDescent="0.25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</row>
    <row r="487" spans="1:31" x14ac:dyDescent="0.25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</row>
    <row r="488" spans="1:31" x14ac:dyDescent="0.25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</row>
    <row r="489" spans="1:31" x14ac:dyDescent="0.25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</row>
    <row r="490" spans="1:31" x14ac:dyDescent="0.25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</row>
    <row r="491" spans="1:31" x14ac:dyDescent="0.25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</row>
    <row r="492" spans="1:31" x14ac:dyDescent="0.25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</row>
    <row r="493" spans="1:31" x14ac:dyDescent="0.25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</row>
    <row r="494" spans="1:31" x14ac:dyDescent="0.25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</row>
    <row r="495" spans="1:31" x14ac:dyDescent="0.25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</row>
    <row r="496" spans="1:31" x14ac:dyDescent="0.25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</row>
    <row r="497" spans="1:31" x14ac:dyDescent="0.25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</row>
    <row r="498" spans="1:31" x14ac:dyDescent="0.25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</row>
    <row r="499" spans="1:31" x14ac:dyDescent="0.25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</row>
    <row r="500" spans="1:31" x14ac:dyDescent="0.25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</row>
  </sheetData>
  <mergeCells count="2">
    <mergeCell ref="A1:O1"/>
    <mergeCell ref="Q1:AE1"/>
  </mergeCells>
  <conditionalFormatting sqref="F1:F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{D9C46FAE-7E4D-4406-9246-F6004BDAA0EA}</x14:id>
        </ext>
      </extLst>
    </cfRule>
  </conditionalFormatting>
  <conditionalFormatting sqref="Z1:Z1048576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{4701B6C9-DC43-4D8C-8E7C-31577CB9FC38}</x14:id>
        </ext>
      </extLst>
    </cfRule>
  </conditionalFormatting>
  <conditionalFormatting sqref="Y9:Y53">
    <cfRule type="colorScale" priority="2">
      <colorScale>
        <cfvo type="min"/>
        <cfvo type="max"/>
        <color rgb="FFFCFCFF"/>
        <color rgb="FFF8696B"/>
      </colorScale>
    </cfRule>
  </conditionalFormatting>
  <conditionalFormatting sqref="G5:G53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C46FAE-7E4D-4406-9246-F6004BDAA0E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4701B6C9-DC43-4D8C-8E7C-31577CB9FC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5"/>
  <sheetViews>
    <sheetView workbookViewId="0">
      <selection activeCell="G21" sqref="G21"/>
    </sheetView>
  </sheetViews>
  <sheetFormatPr defaultRowHeight="15" x14ac:dyDescent="0.25"/>
  <cols>
    <col min="1" max="1" width="13.5703125" bestFit="1" customWidth="1"/>
    <col min="2" max="2" width="10.28515625" bestFit="1" customWidth="1"/>
    <col min="3" max="3" width="6.7109375" bestFit="1" customWidth="1"/>
    <col min="4" max="4" width="15.140625" bestFit="1" customWidth="1"/>
    <col min="5" max="5" width="13.28515625" customWidth="1"/>
    <col min="8" max="8" width="26.5703125" bestFit="1" customWidth="1"/>
    <col min="9" max="10" width="8" bestFit="1" customWidth="1"/>
  </cols>
  <sheetData>
    <row r="1" spans="1:10" x14ac:dyDescent="0.25">
      <c r="A1" t="s">
        <v>5</v>
      </c>
      <c r="B1" t="s">
        <v>269</v>
      </c>
      <c r="C1" t="s">
        <v>29</v>
      </c>
      <c r="D1" s="86" t="s">
        <v>245</v>
      </c>
      <c r="E1" s="86"/>
      <c r="H1" s="87" t="s">
        <v>249</v>
      </c>
      <c r="I1" s="87"/>
      <c r="J1" s="87"/>
    </row>
    <row r="2" spans="1:10" x14ac:dyDescent="0.25">
      <c r="A2" t="s">
        <v>47</v>
      </c>
      <c r="B2" s="21">
        <v>45162</v>
      </c>
      <c r="C2">
        <v>50</v>
      </c>
      <c r="D2" t="s">
        <v>270</v>
      </c>
      <c r="E2" s="30" t="s">
        <v>271</v>
      </c>
      <c r="H2" s="33"/>
      <c r="I2" s="34" t="s">
        <v>276</v>
      </c>
      <c r="J2" s="35" t="s">
        <v>277</v>
      </c>
    </row>
    <row r="3" spans="1:10" x14ac:dyDescent="0.25">
      <c r="A3" t="s">
        <v>46</v>
      </c>
      <c r="B3" s="21">
        <v>45169</v>
      </c>
      <c r="C3">
        <v>50</v>
      </c>
      <c r="D3" t="s">
        <v>246</v>
      </c>
      <c r="E3" s="31" t="s">
        <v>158</v>
      </c>
      <c r="H3" s="36" t="s">
        <v>278</v>
      </c>
      <c r="I3" s="85">
        <v>19431.900000000001</v>
      </c>
      <c r="J3" s="85"/>
    </row>
    <row r="4" spans="1:10" x14ac:dyDescent="0.25">
      <c r="A4" t="s">
        <v>158</v>
      </c>
      <c r="B4" s="21">
        <v>45176</v>
      </c>
      <c r="C4">
        <v>50</v>
      </c>
      <c r="D4" t="s">
        <v>272</v>
      </c>
      <c r="E4" s="32">
        <f>B3</f>
        <v>45169</v>
      </c>
      <c r="H4" s="36" t="s">
        <v>279</v>
      </c>
      <c r="I4" s="85">
        <v>19400</v>
      </c>
      <c r="J4" s="85"/>
    </row>
    <row r="5" spans="1:10" x14ac:dyDescent="0.25">
      <c r="A5" t="s">
        <v>48</v>
      </c>
      <c r="B5" s="21">
        <v>45183</v>
      </c>
      <c r="C5">
        <v>50</v>
      </c>
      <c r="D5" t="s">
        <v>247</v>
      </c>
      <c r="E5" s="31">
        <v>5</v>
      </c>
      <c r="H5" s="36" t="s">
        <v>280</v>
      </c>
      <c r="I5" s="36">
        <v>121.45</v>
      </c>
      <c r="J5" s="36">
        <v>88.5</v>
      </c>
    </row>
    <row r="6" spans="1:10" x14ac:dyDescent="0.25">
      <c r="A6" t="s">
        <v>30</v>
      </c>
      <c r="B6" s="21">
        <v>45190</v>
      </c>
      <c r="C6">
        <v>50</v>
      </c>
      <c r="D6" t="s">
        <v>248</v>
      </c>
      <c r="E6" s="31">
        <v>50</v>
      </c>
      <c r="H6" s="36" t="s">
        <v>281</v>
      </c>
      <c r="I6" s="85">
        <v>19450</v>
      </c>
      <c r="J6" s="85"/>
    </row>
    <row r="7" spans="1:10" x14ac:dyDescent="0.25">
      <c r="A7" t="s">
        <v>31</v>
      </c>
      <c r="B7" s="21">
        <v>45197</v>
      </c>
      <c r="C7">
        <v>50</v>
      </c>
      <c r="D7" t="s">
        <v>273</v>
      </c>
      <c r="E7" s="31" t="s">
        <v>337</v>
      </c>
      <c r="H7" s="36" t="s">
        <v>282</v>
      </c>
      <c r="I7" s="36">
        <v>95.1</v>
      </c>
      <c r="J7" s="36">
        <v>113</v>
      </c>
    </row>
    <row r="8" spans="1:10" x14ac:dyDescent="0.25">
      <c r="A8" t="s">
        <v>33</v>
      </c>
      <c r="B8" s="21">
        <v>45225</v>
      </c>
      <c r="C8">
        <v>50</v>
      </c>
      <c r="D8" t="s">
        <v>274</v>
      </c>
      <c r="E8" s="31" t="s">
        <v>275</v>
      </c>
      <c r="H8" s="36" t="s">
        <v>283</v>
      </c>
      <c r="I8" s="36">
        <v>860538</v>
      </c>
      <c r="J8" s="36">
        <v>892310</v>
      </c>
    </row>
    <row r="9" spans="1:10" x14ac:dyDescent="0.25">
      <c r="A9" t="s">
        <v>34</v>
      </c>
      <c r="B9" s="21">
        <v>45288</v>
      </c>
      <c r="C9">
        <v>50</v>
      </c>
      <c r="H9" s="36" t="s">
        <v>284</v>
      </c>
      <c r="I9" s="36">
        <v>99300</v>
      </c>
      <c r="J9" s="36">
        <v>95866</v>
      </c>
    </row>
    <row r="10" spans="1:10" x14ac:dyDescent="0.25">
      <c r="A10" t="s">
        <v>35</v>
      </c>
      <c r="B10" s="21">
        <v>45379</v>
      </c>
      <c r="C10">
        <v>50</v>
      </c>
      <c r="H10" s="36" t="s">
        <v>285</v>
      </c>
      <c r="I10" s="36">
        <v>78449</v>
      </c>
      <c r="J10" s="36">
        <v>105369</v>
      </c>
    </row>
    <row r="11" spans="1:10" x14ac:dyDescent="0.25">
      <c r="A11" t="s">
        <v>36</v>
      </c>
      <c r="B11" s="21">
        <v>45470</v>
      </c>
      <c r="C11">
        <v>50</v>
      </c>
      <c r="H11" s="36" t="s">
        <v>286</v>
      </c>
      <c r="I11" s="36">
        <v>19700</v>
      </c>
      <c r="J11" s="36">
        <v>19000</v>
      </c>
    </row>
    <row r="12" spans="1:10" x14ac:dyDescent="0.25">
      <c r="A12" t="s">
        <v>37</v>
      </c>
      <c r="B12" s="21">
        <v>45652</v>
      </c>
      <c r="C12">
        <v>50</v>
      </c>
      <c r="H12" s="36" t="s">
        <v>287</v>
      </c>
      <c r="I12" s="36">
        <v>17.649999999999999</v>
      </c>
      <c r="J12" s="36">
        <v>12.55</v>
      </c>
    </row>
    <row r="13" spans="1:10" x14ac:dyDescent="0.25">
      <c r="A13" t="s">
        <v>38</v>
      </c>
      <c r="B13" s="21">
        <v>45834</v>
      </c>
      <c r="C13">
        <v>50</v>
      </c>
      <c r="H13" s="36" t="s">
        <v>288</v>
      </c>
      <c r="I13" s="36">
        <v>18226</v>
      </c>
      <c r="J13" s="36">
        <v>24948</v>
      </c>
    </row>
    <row r="14" spans="1:10" x14ac:dyDescent="0.25">
      <c r="A14" t="s">
        <v>39</v>
      </c>
      <c r="B14" s="21">
        <v>46015</v>
      </c>
      <c r="C14">
        <v>50</v>
      </c>
      <c r="H14" s="36" t="s">
        <v>289</v>
      </c>
      <c r="I14" s="36">
        <v>19650</v>
      </c>
      <c r="J14" s="36">
        <v>19400</v>
      </c>
    </row>
    <row r="15" spans="1:10" x14ac:dyDescent="0.25">
      <c r="A15" t="s">
        <v>40</v>
      </c>
      <c r="B15" s="21">
        <v>46198</v>
      </c>
      <c r="C15">
        <v>50</v>
      </c>
      <c r="H15" s="36" t="s">
        <v>290</v>
      </c>
      <c r="I15" s="36">
        <v>25.6</v>
      </c>
      <c r="J15" s="36">
        <v>88.5</v>
      </c>
    </row>
    <row r="16" spans="1:10" x14ac:dyDescent="0.25">
      <c r="A16" t="s">
        <v>41</v>
      </c>
      <c r="B16" s="21">
        <v>46387</v>
      </c>
      <c r="C16">
        <v>50</v>
      </c>
      <c r="H16" s="36" t="s">
        <v>291</v>
      </c>
      <c r="I16" s="36">
        <v>3653</v>
      </c>
      <c r="J16" s="36">
        <v>1678</v>
      </c>
    </row>
    <row r="17" spans="1:10" x14ac:dyDescent="0.25">
      <c r="A17" t="s">
        <v>42</v>
      </c>
      <c r="B17" s="21">
        <v>46562</v>
      </c>
      <c r="C17">
        <v>50</v>
      </c>
      <c r="H17" s="36" t="s">
        <v>292</v>
      </c>
      <c r="I17" s="36">
        <v>19300</v>
      </c>
      <c r="J17" s="36">
        <v>18700</v>
      </c>
    </row>
    <row r="18" spans="1:10" x14ac:dyDescent="0.25">
      <c r="A18" t="s">
        <v>43</v>
      </c>
      <c r="B18" s="21">
        <v>46751</v>
      </c>
      <c r="C18">
        <v>50</v>
      </c>
      <c r="H18" s="36" t="s">
        <v>293</v>
      </c>
      <c r="I18" s="36">
        <v>186</v>
      </c>
      <c r="J18" s="36">
        <v>5.25</v>
      </c>
    </row>
    <row r="19" spans="1:10" x14ac:dyDescent="0.25">
      <c r="A19" t="s">
        <v>44</v>
      </c>
      <c r="B19" s="21">
        <v>46933</v>
      </c>
      <c r="C19">
        <v>50</v>
      </c>
    </row>
    <row r="20" spans="1:10" x14ac:dyDescent="0.25">
      <c r="A20" t="s">
        <v>45</v>
      </c>
      <c r="B20" s="21"/>
    </row>
    <row r="21" spans="1:10" x14ac:dyDescent="0.25">
      <c r="A21" t="s">
        <v>50</v>
      </c>
      <c r="B21" s="21"/>
    </row>
    <row r="22" spans="1:10" x14ac:dyDescent="0.25">
      <c r="A22" t="s">
        <v>51</v>
      </c>
      <c r="B22" s="21"/>
    </row>
    <row r="23" spans="1:10" x14ac:dyDescent="0.25">
      <c r="A23" t="s">
        <v>52</v>
      </c>
      <c r="B23" s="21"/>
    </row>
    <row r="24" spans="1:10" x14ac:dyDescent="0.25">
      <c r="A24" t="s">
        <v>53</v>
      </c>
      <c r="B24" s="21"/>
    </row>
    <row r="25" spans="1:10" x14ac:dyDescent="0.25">
      <c r="A25" t="s">
        <v>54</v>
      </c>
      <c r="B25" s="21"/>
    </row>
    <row r="26" spans="1:10" x14ac:dyDescent="0.25">
      <c r="A26" t="s">
        <v>55</v>
      </c>
    </row>
    <row r="27" spans="1:10" x14ac:dyDescent="0.25">
      <c r="A27" t="s">
        <v>56</v>
      </c>
    </row>
    <row r="28" spans="1:10" x14ac:dyDescent="0.25">
      <c r="A28" t="s">
        <v>57</v>
      </c>
    </row>
    <row r="29" spans="1:10" x14ac:dyDescent="0.25">
      <c r="A29" t="s">
        <v>58</v>
      </c>
    </row>
    <row r="30" spans="1:10" x14ac:dyDescent="0.25">
      <c r="A30" t="s">
        <v>59</v>
      </c>
    </row>
    <row r="31" spans="1:10" x14ac:dyDescent="0.25">
      <c r="A31" t="s">
        <v>60</v>
      </c>
    </row>
    <row r="32" spans="1:10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85</v>
      </c>
    </row>
    <row r="57" spans="1:1" x14ac:dyDescent="0.25">
      <c r="A57" t="s">
        <v>86</v>
      </c>
    </row>
    <row r="58" spans="1:1" x14ac:dyDescent="0.25">
      <c r="A58" t="s">
        <v>87</v>
      </c>
    </row>
    <row r="59" spans="1:1" x14ac:dyDescent="0.25">
      <c r="A59" t="s">
        <v>88</v>
      </c>
    </row>
    <row r="60" spans="1:1" x14ac:dyDescent="0.25">
      <c r="A60" t="s">
        <v>89</v>
      </c>
    </row>
    <row r="61" spans="1:1" x14ac:dyDescent="0.25">
      <c r="A61" t="s">
        <v>90</v>
      </c>
    </row>
    <row r="62" spans="1:1" x14ac:dyDescent="0.25">
      <c r="A62" t="s">
        <v>91</v>
      </c>
    </row>
    <row r="63" spans="1:1" x14ac:dyDescent="0.25">
      <c r="A63" t="s">
        <v>92</v>
      </c>
    </row>
    <row r="64" spans="1:1" x14ac:dyDescent="0.25">
      <c r="A64" t="s">
        <v>93</v>
      </c>
    </row>
    <row r="65" spans="1:1" x14ac:dyDescent="0.25">
      <c r="A65" t="s">
        <v>94</v>
      </c>
    </row>
    <row r="66" spans="1:1" x14ac:dyDescent="0.25">
      <c r="A66" t="s">
        <v>95</v>
      </c>
    </row>
    <row r="67" spans="1:1" x14ac:dyDescent="0.25">
      <c r="A67" t="s">
        <v>96</v>
      </c>
    </row>
    <row r="68" spans="1:1" x14ac:dyDescent="0.25">
      <c r="A68" t="s">
        <v>97</v>
      </c>
    </row>
    <row r="69" spans="1:1" x14ac:dyDescent="0.25">
      <c r="A69" t="s">
        <v>98</v>
      </c>
    </row>
    <row r="70" spans="1:1" x14ac:dyDescent="0.25">
      <c r="A70" t="s">
        <v>99</v>
      </c>
    </row>
    <row r="71" spans="1:1" x14ac:dyDescent="0.25">
      <c r="A71" t="s">
        <v>100</v>
      </c>
    </row>
    <row r="72" spans="1:1" x14ac:dyDescent="0.25">
      <c r="A72" t="s">
        <v>101</v>
      </c>
    </row>
    <row r="73" spans="1:1" x14ac:dyDescent="0.25">
      <c r="A73" t="s">
        <v>102</v>
      </c>
    </row>
    <row r="74" spans="1:1" x14ac:dyDescent="0.25">
      <c r="A74" t="s">
        <v>103</v>
      </c>
    </row>
    <row r="75" spans="1:1" x14ac:dyDescent="0.25">
      <c r="A75" t="s">
        <v>104</v>
      </c>
    </row>
    <row r="76" spans="1:1" x14ac:dyDescent="0.25">
      <c r="A76" t="s">
        <v>105</v>
      </c>
    </row>
    <row r="77" spans="1:1" x14ac:dyDescent="0.25">
      <c r="A77" t="s">
        <v>106</v>
      </c>
    </row>
    <row r="78" spans="1:1" x14ac:dyDescent="0.25">
      <c r="A78" t="s">
        <v>107</v>
      </c>
    </row>
    <row r="79" spans="1:1" x14ac:dyDescent="0.25">
      <c r="A79" t="s">
        <v>108</v>
      </c>
    </row>
    <row r="80" spans="1:1" x14ac:dyDescent="0.25">
      <c r="A80" t="s">
        <v>109</v>
      </c>
    </row>
    <row r="81" spans="1:1" x14ac:dyDescent="0.25">
      <c r="A81" t="s">
        <v>110</v>
      </c>
    </row>
    <row r="82" spans="1:1" x14ac:dyDescent="0.25">
      <c r="A82" t="s">
        <v>111</v>
      </c>
    </row>
    <row r="83" spans="1:1" x14ac:dyDescent="0.25">
      <c r="A83" t="s">
        <v>112</v>
      </c>
    </row>
    <row r="84" spans="1:1" x14ac:dyDescent="0.25">
      <c r="A84" t="s">
        <v>113</v>
      </c>
    </row>
    <row r="85" spans="1:1" x14ac:dyDescent="0.25">
      <c r="A85" t="s">
        <v>114</v>
      </c>
    </row>
    <row r="86" spans="1:1" x14ac:dyDescent="0.25">
      <c r="A86" t="s">
        <v>115</v>
      </c>
    </row>
    <row r="87" spans="1:1" x14ac:dyDescent="0.25">
      <c r="A87" t="s">
        <v>116</v>
      </c>
    </row>
    <row r="88" spans="1:1" x14ac:dyDescent="0.25">
      <c r="A88" t="s">
        <v>117</v>
      </c>
    </row>
    <row r="89" spans="1:1" x14ac:dyDescent="0.25">
      <c r="A89" t="s">
        <v>118</v>
      </c>
    </row>
    <row r="90" spans="1:1" x14ac:dyDescent="0.25">
      <c r="A90" t="s">
        <v>119</v>
      </c>
    </row>
    <row r="91" spans="1:1" x14ac:dyDescent="0.25">
      <c r="A91" t="s">
        <v>120</v>
      </c>
    </row>
    <row r="92" spans="1:1" x14ac:dyDescent="0.25">
      <c r="A92" t="s">
        <v>121</v>
      </c>
    </row>
    <row r="93" spans="1:1" x14ac:dyDescent="0.25">
      <c r="A93" t="s">
        <v>122</v>
      </c>
    </row>
    <row r="94" spans="1:1" x14ac:dyDescent="0.25">
      <c r="A94" t="s">
        <v>123</v>
      </c>
    </row>
    <row r="95" spans="1:1" x14ac:dyDescent="0.25">
      <c r="A95" t="s">
        <v>124</v>
      </c>
    </row>
    <row r="96" spans="1:1" x14ac:dyDescent="0.25">
      <c r="A96" t="s">
        <v>125</v>
      </c>
    </row>
    <row r="97" spans="1:1" x14ac:dyDescent="0.25">
      <c r="A97" t="s">
        <v>126</v>
      </c>
    </row>
    <row r="98" spans="1:1" x14ac:dyDescent="0.25">
      <c r="A98" t="s">
        <v>127</v>
      </c>
    </row>
    <row r="99" spans="1:1" x14ac:dyDescent="0.25">
      <c r="A99" t="s">
        <v>128</v>
      </c>
    </row>
    <row r="100" spans="1:1" x14ac:dyDescent="0.25">
      <c r="A100" t="s">
        <v>129</v>
      </c>
    </row>
    <row r="101" spans="1:1" x14ac:dyDescent="0.25">
      <c r="A101" t="s">
        <v>130</v>
      </c>
    </row>
    <row r="102" spans="1:1" x14ac:dyDescent="0.25">
      <c r="A102" t="s">
        <v>131</v>
      </c>
    </row>
    <row r="103" spans="1:1" x14ac:dyDescent="0.25">
      <c r="A103" t="s">
        <v>132</v>
      </c>
    </row>
    <row r="104" spans="1:1" x14ac:dyDescent="0.25">
      <c r="A104" t="s">
        <v>133</v>
      </c>
    </row>
    <row r="105" spans="1:1" x14ac:dyDescent="0.25">
      <c r="A105" t="s">
        <v>134</v>
      </c>
    </row>
    <row r="106" spans="1:1" x14ac:dyDescent="0.25">
      <c r="A106" t="s">
        <v>135</v>
      </c>
    </row>
    <row r="107" spans="1:1" x14ac:dyDescent="0.25">
      <c r="A107" t="s">
        <v>32</v>
      </c>
    </row>
    <row r="108" spans="1:1" x14ac:dyDescent="0.25">
      <c r="A108" t="s">
        <v>136</v>
      </c>
    </row>
    <row r="109" spans="1:1" x14ac:dyDescent="0.25">
      <c r="A109" t="s">
        <v>137</v>
      </c>
    </row>
    <row r="110" spans="1:1" x14ac:dyDescent="0.25">
      <c r="A110" t="s">
        <v>138</v>
      </c>
    </row>
    <row r="111" spans="1:1" x14ac:dyDescent="0.25">
      <c r="A111" t="s">
        <v>139</v>
      </c>
    </row>
    <row r="112" spans="1:1" x14ac:dyDescent="0.25">
      <c r="A112" t="s">
        <v>140</v>
      </c>
    </row>
    <row r="113" spans="1:1" x14ac:dyDescent="0.25">
      <c r="A113" t="s">
        <v>141</v>
      </c>
    </row>
    <row r="114" spans="1:1" x14ac:dyDescent="0.25">
      <c r="A114" t="s">
        <v>142</v>
      </c>
    </row>
    <row r="115" spans="1:1" x14ac:dyDescent="0.25">
      <c r="A115" t="s">
        <v>143</v>
      </c>
    </row>
    <row r="116" spans="1:1" x14ac:dyDescent="0.25">
      <c r="A116" t="s">
        <v>144</v>
      </c>
    </row>
    <row r="117" spans="1:1" x14ac:dyDescent="0.25">
      <c r="A117" t="s">
        <v>145</v>
      </c>
    </row>
    <row r="118" spans="1:1" x14ac:dyDescent="0.25">
      <c r="A118" t="s">
        <v>261</v>
      </c>
    </row>
    <row r="119" spans="1:1" x14ac:dyDescent="0.25">
      <c r="A119" t="s">
        <v>146</v>
      </c>
    </row>
    <row r="120" spans="1:1" x14ac:dyDescent="0.25">
      <c r="A120" t="s">
        <v>147</v>
      </c>
    </row>
    <row r="121" spans="1:1" x14ac:dyDescent="0.25">
      <c r="A121" t="s">
        <v>148</v>
      </c>
    </row>
    <row r="122" spans="1:1" x14ac:dyDescent="0.25">
      <c r="A122" t="s">
        <v>149</v>
      </c>
    </row>
    <row r="123" spans="1:1" x14ac:dyDescent="0.25">
      <c r="A123" t="s">
        <v>150</v>
      </c>
    </row>
    <row r="124" spans="1:1" x14ac:dyDescent="0.25">
      <c r="A124" t="s">
        <v>151</v>
      </c>
    </row>
    <row r="125" spans="1:1" x14ac:dyDescent="0.25">
      <c r="A125" t="s">
        <v>152</v>
      </c>
    </row>
    <row r="126" spans="1:1" x14ac:dyDescent="0.25">
      <c r="A126" t="s">
        <v>153</v>
      </c>
    </row>
    <row r="127" spans="1:1" x14ac:dyDescent="0.25">
      <c r="A127" t="s">
        <v>154</v>
      </c>
    </row>
    <row r="128" spans="1:1" x14ac:dyDescent="0.25">
      <c r="A128" t="s">
        <v>155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159</v>
      </c>
    </row>
    <row r="132" spans="1:1" x14ac:dyDescent="0.25">
      <c r="A132" t="s">
        <v>160</v>
      </c>
    </row>
    <row r="133" spans="1:1" x14ac:dyDescent="0.25">
      <c r="A133" t="s">
        <v>161</v>
      </c>
    </row>
    <row r="134" spans="1:1" x14ac:dyDescent="0.25">
      <c r="A134" t="s">
        <v>162</v>
      </c>
    </row>
    <row r="135" spans="1:1" x14ac:dyDescent="0.25">
      <c r="A135" t="s">
        <v>163</v>
      </c>
    </row>
    <row r="136" spans="1:1" x14ac:dyDescent="0.25">
      <c r="A136" t="s">
        <v>164</v>
      </c>
    </row>
    <row r="137" spans="1:1" x14ac:dyDescent="0.25">
      <c r="A137" t="s">
        <v>165</v>
      </c>
    </row>
    <row r="138" spans="1:1" x14ac:dyDescent="0.25">
      <c r="A138" t="s">
        <v>166</v>
      </c>
    </row>
    <row r="139" spans="1:1" x14ac:dyDescent="0.25">
      <c r="A139" t="s">
        <v>167</v>
      </c>
    </row>
    <row r="140" spans="1:1" x14ac:dyDescent="0.25">
      <c r="A140" t="s">
        <v>168</v>
      </c>
    </row>
    <row r="141" spans="1:1" x14ac:dyDescent="0.25">
      <c r="A141" t="s">
        <v>169</v>
      </c>
    </row>
    <row r="142" spans="1:1" x14ac:dyDescent="0.25">
      <c r="A142" t="s">
        <v>170</v>
      </c>
    </row>
    <row r="143" spans="1:1" x14ac:dyDescent="0.25">
      <c r="A143" t="s">
        <v>171</v>
      </c>
    </row>
    <row r="144" spans="1:1" x14ac:dyDescent="0.25">
      <c r="A144" t="s">
        <v>172</v>
      </c>
    </row>
    <row r="145" spans="1:1" x14ac:dyDescent="0.25">
      <c r="A145" t="s">
        <v>173</v>
      </c>
    </row>
    <row r="146" spans="1:1" x14ac:dyDescent="0.25">
      <c r="A146" t="s">
        <v>174</v>
      </c>
    </row>
    <row r="147" spans="1:1" x14ac:dyDescent="0.25">
      <c r="A147" t="s">
        <v>175</v>
      </c>
    </row>
    <row r="148" spans="1:1" x14ac:dyDescent="0.25">
      <c r="A148" t="s">
        <v>176</v>
      </c>
    </row>
    <row r="149" spans="1:1" x14ac:dyDescent="0.25">
      <c r="A149" t="s">
        <v>177</v>
      </c>
    </row>
    <row r="150" spans="1:1" x14ac:dyDescent="0.25">
      <c r="A150" t="s">
        <v>178</v>
      </c>
    </row>
    <row r="151" spans="1:1" x14ac:dyDescent="0.25">
      <c r="A151" t="s">
        <v>179</v>
      </c>
    </row>
    <row r="152" spans="1:1" x14ac:dyDescent="0.25">
      <c r="A152" t="s">
        <v>180</v>
      </c>
    </row>
    <row r="153" spans="1:1" x14ac:dyDescent="0.25">
      <c r="A153" t="s">
        <v>181</v>
      </c>
    </row>
    <row r="154" spans="1:1" x14ac:dyDescent="0.25">
      <c r="A154" t="s">
        <v>314</v>
      </c>
    </row>
    <row r="155" spans="1:1" x14ac:dyDescent="0.25">
      <c r="A155" t="s">
        <v>182</v>
      </c>
    </row>
    <row r="156" spans="1:1" x14ac:dyDescent="0.25">
      <c r="A156" t="s">
        <v>183</v>
      </c>
    </row>
    <row r="157" spans="1:1" x14ac:dyDescent="0.25">
      <c r="A157" t="s">
        <v>184</v>
      </c>
    </row>
    <row r="158" spans="1:1" x14ac:dyDescent="0.25">
      <c r="A158" t="s">
        <v>185</v>
      </c>
    </row>
    <row r="159" spans="1:1" x14ac:dyDescent="0.25">
      <c r="A159" t="s">
        <v>186</v>
      </c>
    </row>
    <row r="160" spans="1:1" x14ac:dyDescent="0.25">
      <c r="A160" t="s">
        <v>187</v>
      </c>
    </row>
    <row r="161" spans="1:1" x14ac:dyDescent="0.25">
      <c r="A161" t="s">
        <v>188</v>
      </c>
    </row>
    <row r="162" spans="1:1" x14ac:dyDescent="0.25">
      <c r="A162" t="s">
        <v>189</v>
      </c>
    </row>
    <row r="163" spans="1:1" x14ac:dyDescent="0.25">
      <c r="A163" t="s">
        <v>190</v>
      </c>
    </row>
    <row r="164" spans="1:1" x14ac:dyDescent="0.25">
      <c r="A164" t="s">
        <v>262</v>
      </c>
    </row>
    <row r="165" spans="1:1" x14ac:dyDescent="0.25">
      <c r="A165" t="s">
        <v>191</v>
      </c>
    </row>
    <row r="166" spans="1:1" x14ac:dyDescent="0.25">
      <c r="A166" t="s">
        <v>192</v>
      </c>
    </row>
    <row r="167" spans="1:1" x14ac:dyDescent="0.25">
      <c r="A167" t="s">
        <v>193</v>
      </c>
    </row>
    <row r="168" spans="1:1" x14ac:dyDescent="0.25">
      <c r="A168" t="s">
        <v>194</v>
      </c>
    </row>
    <row r="169" spans="1:1" x14ac:dyDescent="0.25">
      <c r="A169" t="s">
        <v>195</v>
      </c>
    </row>
    <row r="170" spans="1:1" x14ac:dyDescent="0.25">
      <c r="A170" t="s">
        <v>196</v>
      </c>
    </row>
    <row r="171" spans="1:1" x14ac:dyDescent="0.25">
      <c r="A171" t="s">
        <v>197</v>
      </c>
    </row>
    <row r="172" spans="1:1" x14ac:dyDescent="0.25">
      <c r="A172" t="s">
        <v>198</v>
      </c>
    </row>
    <row r="173" spans="1:1" x14ac:dyDescent="0.25">
      <c r="A173" t="s">
        <v>199</v>
      </c>
    </row>
    <row r="174" spans="1:1" x14ac:dyDescent="0.25">
      <c r="A174" t="s">
        <v>200</v>
      </c>
    </row>
    <row r="175" spans="1:1" x14ac:dyDescent="0.25">
      <c r="A175" t="s">
        <v>201</v>
      </c>
    </row>
    <row r="176" spans="1:1" x14ac:dyDescent="0.25">
      <c r="A176" t="s">
        <v>202</v>
      </c>
    </row>
    <row r="177" spans="1:1" x14ac:dyDescent="0.25">
      <c r="A177" t="s">
        <v>203</v>
      </c>
    </row>
    <row r="178" spans="1:1" x14ac:dyDescent="0.25">
      <c r="A178" t="s">
        <v>204</v>
      </c>
    </row>
    <row r="179" spans="1:1" x14ac:dyDescent="0.25">
      <c r="A179" t="s">
        <v>205</v>
      </c>
    </row>
    <row r="180" spans="1:1" x14ac:dyDescent="0.25">
      <c r="A180" t="s">
        <v>206</v>
      </c>
    </row>
    <row r="181" spans="1:1" x14ac:dyDescent="0.25">
      <c r="A181" t="s">
        <v>207</v>
      </c>
    </row>
    <row r="182" spans="1:1" x14ac:dyDescent="0.25">
      <c r="A182" t="s">
        <v>208</v>
      </c>
    </row>
    <row r="183" spans="1:1" x14ac:dyDescent="0.25">
      <c r="A183" t="s">
        <v>209</v>
      </c>
    </row>
    <row r="184" spans="1:1" x14ac:dyDescent="0.25">
      <c r="A184" t="s">
        <v>210</v>
      </c>
    </row>
    <row r="185" spans="1:1" x14ac:dyDescent="0.25">
      <c r="A185" t="s">
        <v>211</v>
      </c>
    </row>
    <row r="186" spans="1:1" x14ac:dyDescent="0.25">
      <c r="A186" t="s">
        <v>212</v>
      </c>
    </row>
    <row r="187" spans="1:1" x14ac:dyDescent="0.25">
      <c r="A187" t="s">
        <v>213</v>
      </c>
    </row>
    <row r="188" spans="1:1" x14ac:dyDescent="0.25">
      <c r="A188" t="s">
        <v>214</v>
      </c>
    </row>
    <row r="189" spans="1:1" x14ac:dyDescent="0.25">
      <c r="A189" t="s">
        <v>215</v>
      </c>
    </row>
    <row r="190" spans="1:1" x14ac:dyDescent="0.25">
      <c r="A190" t="s">
        <v>315</v>
      </c>
    </row>
    <row r="191" spans="1:1" x14ac:dyDescent="0.25">
      <c r="A191" t="s">
        <v>316</v>
      </c>
    </row>
    <row r="192" spans="1:1" x14ac:dyDescent="0.25">
      <c r="A192" t="s">
        <v>317</v>
      </c>
    </row>
    <row r="193" spans="1:1" x14ac:dyDescent="0.25">
      <c r="A193" t="s">
        <v>318</v>
      </c>
    </row>
    <row r="194" spans="1:1" x14ac:dyDescent="0.25">
      <c r="A194" t="s">
        <v>319</v>
      </c>
    </row>
    <row r="195" spans="1:1" x14ac:dyDescent="0.25">
      <c r="A195" t="s">
        <v>320</v>
      </c>
    </row>
    <row r="196" spans="1:1" x14ac:dyDescent="0.25">
      <c r="A196" t="s">
        <v>321</v>
      </c>
    </row>
    <row r="197" spans="1:1" x14ac:dyDescent="0.25">
      <c r="A197" t="s">
        <v>322</v>
      </c>
    </row>
    <row r="198" spans="1:1" x14ac:dyDescent="0.25">
      <c r="A198" t="s">
        <v>323</v>
      </c>
    </row>
    <row r="199" spans="1:1" x14ac:dyDescent="0.25">
      <c r="A199" t="s">
        <v>324</v>
      </c>
    </row>
    <row r="200" spans="1:1" x14ac:dyDescent="0.25">
      <c r="A200" t="s">
        <v>325</v>
      </c>
    </row>
    <row r="201" spans="1:1" x14ac:dyDescent="0.25">
      <c r="A201" t="s">
        <v>326</v>
      </c>
    </row>
    <row r="202" spans="1:1" x14ac:dyDescent="0.25">
      <c r="A202" t="s">
        <v>327</v>
      </c>
    </row>
    <row r="203" spans="1:1" x14ac:dyDescent="0.25">
      <c r="A203" t="s">
        <v>328</v>
      </c>
    </row>
    <row r="204" spans="1:1" x14ac:dyDescent="0.25">
      <c r="A204" t="s">
        <v>329</v>
      </c>
    </row>
    <row r="205" spans="1:1" x14ac:dyDescent="0.25">
      <c r="A205" t="s">
        <v>330</v>
      </c>
    </row>
  </sheetData>
  <autoFilter ref="A1:E205" xr:uid="{00000000-0001-0000-0800-000000000000}">
    <filterColumn colId="3" showButton="0"/>
  </autoFilter>
  <mergeCells count="5">
    <mergeCell ref="D1:E1"/>
    <mergeCell ref="H1:J1"/>
    <mergeCell ref="I3:J3"/>
    <mergeCell ref="I4:J4"/>
    <mergeCell ref="I6:J6"/>
  </mergeCells>
  <dataValidations count="3">
    <dataValidation type="list" allowBlank="1" showInputMessage="1" showErrorMessage="1" sqref="E8" xr:uid="{00000000-0002-0000-0800-000000000000}">
      <formula1>"NSE,SENSIBULL"</formula1>
    </dataValidation>
    <dataValidation type="list" allowBlank="1" showInputMessage="1" showErrorMessage="1" sqref="E7" xr:uid="{00000000-0002-0000-0800-000001000000}">
      <formula1>"MONTHLY,WEEKLY"</formula1>
    </dataValidation>
    <dataValidation type="list" allowBlank="1" showInputMessage="1" showErrorMessage="1" sqref="E2" xr:uid="{00000000-0002-0000-0800-000002000000}">
      <formula1>"NFO-OPT,CDS-OPT,MCX-OPT"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E500"/>
  <sheetViews>
    <sheetView workbookViewId="0">
      <selection activeCell="Q28" sqref="Q28"/>
    </sheetView>
  </sheetViews>
  <sheetFormatPr defaultRowHeight="15" x14ac:dyDescent="0.25"/>
  <sheetData>
    <row r="1" spans="1:31" ht="30.75" thickBot="1" x14ac:dyDescent="0.3">
      <c r="A1" s="88" t="s">
        <v>250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25" t="s">
        <v>263</v>
      </c>
      <c r="Q1" s="88" t="s">
        <v>251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x14ac:dyDescent="0.25">
      <c r="A2" s="24" t="s">
        <v>252</v>
      </c>
      <c r="B2" s="24" t="s">
        <v>264</v>
      </c>
      <c r="C2" s="24" t="s">
        <v>265</v>
      </c>
      <c r="D2" s="24" t="s">
        <v>266</v>
      </c>
      <c r="E2" s="24" t="s">
        <v>267</v>
      </c>
      <c r="F2" s="24" t="s">
        <v>49</v>
      </c>
      <c r="G2" s="22" t="s">
        <v>253</v>
      </c>
      <c r="H2" s="22" t="s">
        <v>254</v>
      </c>
      <c r="I2" s="22" t="s">
        <v>255</v>
      </c>
      <c r="J2" s="22" t="s">
        <v>14</v>
      </c>
      <c r="K2" s="22" t="s">
        <v>256</v>
      </c>
      <c r="L2" s="22" t="s">
        <v>257</v>
      </c>
      <c r="M2" s="22" t="s">
        <v>258</v>
      </c>
      <c r="N2" s="22" t="s">
        <v>259</v>
      </c>
      <c r="O2" s="22" t="s">
        <v>260</v>
      </c>
      <c r="P2" s="22" t="s">
        <v>268</v>
      </c>
      <c r="Q2" s="22" t="s">
        <v>257</v>
      </c>
      <c r="R2" s="22" t="s">
        <v>258</v>
      </c>
      <c r="S2" s="22" t="s">
        <v>259</v>
      </c>
      <c r="T2" s="22" t="s">
        <v>260</v>
      </c>
      <c r="U2" s="22" t="s">
        <v>256</v>
      </c>
      <c r="V2" s="22" t="s">
        <v>14</v>
      </c>
      <c r="W2" s="22" t="s">
        <v>255</v>
      </c>
      <c r="X2" s="22" t="s">
        <v>254</v>
      </c>
      <c r="Y2" s="26" t="s">
        <v>253</v>
      </c>
      <c r="Z2" s="27" t="s">
        <v>49</v>
      </c>
      <c r="AA2" s="27" t="s">
        <v>267</v>
      </c>
      <c r="AB2" s="27" t="s">
        <v>266</v>
      </c>
      <c r="AC2" s="27" t="s">
        <v>265</v>
      </c>
      <c r="AD2" s="27" t="s">
        <v>264</v>
      </c>
      <c r="AE2" s="24" t="s">
        <v>252</v>
      </c>
    </row>
    <row r="3" spans="1:31" x14ac:dyDescent="0.25">
      <c r="A3" s="28">
        <v>0.82</v>
      </c>
      <c r="B3" s="28">
        <v>8.0000000000000004E-4</v>
      </c>
      <c r="C3" s="28">
        <v>-4.63</v>
      </c>
      <c r="D3" s="28">
        <v>7.44</v>
      </c>
      <c r="E3" s="28">
        <v>0.39700000000000002</v>
      </c>
      <c r="F3" s="28">
        <v>7966</v>
      </c>
      <c r="G3" s="28">
        <v>-932</v>
      </c>
      <c r="H3" s="28">
        <v>39438</v>
      </c>
      <c r="I3" s="28">
        <v>11.44</v>
      </c>
      <c r="J3" s="28">
        <v>265</v>
      </c>
      <c r="K3" s="28">
        <v>13.44</v>
      </c>
      <c r="L3" s="28" t="s">
        <v>22</v>
      </c>
      <c r="M3" s="28">
        <v>264</v>
      </c>
      <c r="N3" s="28">
        <v>264.45</v>
      </c>
      <c r="O3" s="28" t="s">
        <v>22</v>
      </c>
      <c r="P3" s="29">
        <v>19200</v>
      </c>
      <c r="Q3" s="28" t="s">
        <v>22</v>
      </c>
      <c r="R3" s="28">
        <v>32.35</v>
      </c>
      <c r="S3" s="28">
        <v>33</v>
      </c>
      <c r="T3" s="28" t="s">
        <v>22</v>
      </c>
      <c r="U3" s="28">
        <v>-32.11</v>
      </c>
      <c r="V3" s="28">
        <v>32.35</v>
      </c>
      <c r="W3" s="28">
        <v>11.44</v>
      </c>
      <c r="X3" s="28">
        <v>182703</v>
      </c>
      <c r="Y3" s="28">
        <v>12519</v>
      </c>
      <c r="Z3" s="28">
        <v>58673</v>
      </c>
      <c r="AA3" s="28">
        <v>-7.4999999999999997E-2</v>
      </c>
      <c r="AB3" s="28">
        <v>7.44</v>
      </c>
      <c r="AC3" s="28">
        <v>-4.63</v>
      </c>
      <c r="AD3" s="28">
        <v>8.0000000000000004E-4</v>
      </c>
      <c r="AE3" s="28">
        <v>-0.18</v>
      </c>
    </row>
    <row r="4" spans="1:31" x14ac:dyDescent="0.25">
      <c r="A4" s="28">
        <v>0.77</v>
      </c>
      <c r="B4" s="28">
        <v>8.9999999999999998E-4</v>
      </c>
      <c r="C4" s="28">
        <v>-5.14</v>
      </c>
      <c r="D4" s="28">
        <v>8.4600000000000009</v>
      </c>
      <c r="E4" s="28">
        <v>0.39800000000000002</v>
      </c>
      <c r="F4" s="28">
        <v>2671</v>
      </c>
      <c r="G4" s="28">
        <v>-250</v>
      </c>
      <c r="H4" s="28">
        <v>11110</v>
      </c>
      <c r="I4" s="28">
        <v>11.39</v>
      </c>
      <c r="J4" s="28">
        <v>225.35</v>
      </c>
      <c r="K4" s="28">
        <v>14.45</v>
      </c>
      <c r="L4" s="28" t="s">
        <v>22</v>
      </c>
      <c r="M4" s="28">
        <v>222.9</v>
      </c>
      <c r="N4" s="28">
        <v>226.5</v>
      </c>
      <c r="O4" s="28" t="s">
        <v>22</v>
      </c>
      <c r="P4" s="29">
        <v>19250</v>
      </c>
      <c r="Q4" s="28" t="s">
        <v>22</v>
      </c>
      <c r="R4" s="28">
        <v>42.35</v>
      </c>
      <c r="S4" s="28">
        <v>42.85</v>
      </c>
      <c r="T4" s="28" t="s">
        <v>22</v>
      </c>
      <c r="U4" s="28">
        <v>-29.72</v>
      </c>
      <c r="V4" s="28">
        <v>42.45</v>
      </c>
      <c r="W4" s="28">
        <v>11.39</v>
      </c>
      <c r="X4" s="28">
        <v>78395</v>
      </c>
      <c r="Y4" s="28">
        <v>795</v>
      </c>
      <c r="Z4" s="28">
        <v>14003</v>
      </c>
      <c r="AA4" s="28">
        <v>-9.2999999999999999E-2</v>
      </c>
      <c r="AB4" s="28">
        <v>8.4600000000000009</v>
      </c>
      <c r="AC4" s="28">
        <v>-5.14</v>
      </c>
      <c r="AD4" s="28">
        <v>8.9999999999999998E-4</v>
      </c>
      <c r="AE4" s="28">
        <v>-0.23</v>
      </c>
    </row>
    <row r="5" spans="1:31" x14ac:dyDescent="0.25">
      <c r="A5" s="28">
        <v>0.72</v>
      </c>
      <c r="B5" s="28">
        <v>1.1000000000000001E-3</v>
      </c>
      <c r="C5" s="28">
        <v>-5.55</v>
      </c>
      <c r="D5" s="28">
        <v>9.39</v>
      </c>
      <c r="E5" s="28">
        <v>0.38100000000000001</v>
      </c>
      <c r="F5" s="28">
        <v>27892</v>
      </c>
      <c r="G5" s="28">
        <v>-3653</v>
      </c>
      <c r="H5" s="28">
        <v>98950</v>
      </c>
      <c r="I5" s="28">
        <v>11.35</v>
      </c>
      <c r="J5" s="28">
        <v>186</v>
      </c>
      <c r="K5" s="28">
        <v>13.55</v>
      </c>
      <c r="L5" s="28" t="s">
        <v>22</v>
      </c>
      <c r="M5" s="28">
        <v>184.95</v>
      </c>
      <c r="N5" s="28">
        <v>186.9</v>
      </c>
      <c r="O5" s="28" t="s">
        <v>22</v>
      </c>
      <c r="P5" s="29">
        <v>19300</v>
      </c>
      <c r="Q5" s="28" t="s">
        <v>22</v>
      </c>
      <c r="R5" s="28">
        <v>54.95</v>
      </c>
      <c r="S5" s="28">
        <v>55.4</v>
      </c>
      <c r="T5" s="28" t="s">
        <v>22</v>
      </c>
      <c r="U5" s="28">
        <v>-28.2</v>
      </c>
      <c r="V5" s="28">
        <v>55</v>
      </c>
      <c r="W5" s="28">
        <v>11.35</v>
      </c>
      <c r="X5" s="28">
        <v>222442</v>
      </c>
      <c r="Y5" s="28">
        <v>7713</v>
      </c>
      <c r="Z5" s="28">
        <v>72009</v>
      </c>
      <c r="AA5" s="28">
        <v>-0.113</v>
      </c>
      <c r="AB5" s="28">
        <v>9.39</v>
      </c>
      <c r="AC5" s="28">
        <v>-5.55</v>
      </c>
      <c r="AD5" s="28">
        <v>1.1000000000000001E-3</v>
      </c>
      <c r="AE5" s="28">
        <v>-0.28000000000000003</v>
      </c>
    </row>
    <row r="6" spans="1:31" x14ac:dyDescent="0.25">
      <c r="A6" s="28">
        <v>0.67</v>
      </c>
      <c r="B6" s="28">
        <v>1.1000000000000001E-3</v>
      </c>
      <c r="C6" s="28">
        <v>-5.85</v>
      </c>
      <c r="D6" s="28">
        <v>10.18</v>
      </c>
      <c r="E6" s="28">
        <v>0.316</v>
      </c>
      <c r="F6" s="28">
        <v>9330</v>
      </c>
      <c r="G6" s="28">
        <v>-1829</v>
      </c>
      <c r="H6" s="28">
        <v>66034</v>
      </c>
      <c r="I6" s="28">
        <v>11.37</v>
      </c>
      <c r="J6" s="28">
        <v>153.80000000000001</v>
      </c>
      <c r="K6" s="28">
        <v>15.47</v>
      </c>
      <c r="L6" s="28" t="s">
        <v>22</v>
      </c>
      <c r="M6" s="28">
        <v>149.15</v>
      </c>
      <c r="N6" s="28">
        <v>153.05000000000001</v>
      </c>
      <c r="O6" s="28" t="s">
        <v>22</v>
      </c>
      <c r="P6" s="29">
        <v>19350</v>
      </c>
      <c r="Q6" s="28" t="s">
        <v>22</v>
      </c>
      <c r="R6" s="28">
        <v>69.349999999999994</v>
      </c>
      <c r="S6" s="28">
        <v>71.099999999999994</v>
      </c>
      <c r="T6" s="28" t="s">
        <v>22</v>
      </c>
      <c r="U6" s="28">
        <v>-25.98</v>
      </c>
      <c r="V6" s="28">
        <v>70.650000000000006</v>
      </c>
      <c r="W6" s="28">
        <v>11.37</v>
      </c>
      <c r="X6" s="28">
        <v>115058</v>
      </c>
      <c r="Y6" s="28">
        <v>3697</v>
      </c>
      <c r="Z6" s="28">
        <v>19442</v>
      </c>
      <c r="AA6" s="28">
        <v>-0.13600000000000001</v>
      </c>
      <c r="AB6" s="28">
        <v>10.18</v>
      </c>
      <c r="AC6" s="28">
        <v>-5.85</v>
      </c>
      <c r="AD6" s="28">
        <v>1.1000000000000001E-3</v>
      </c>
      <c r="AE6" s="28">
        <v>-0.33</v>
      </c>
    </row>
    <row r="7" spans="1:31" x14ac:dyDescent="0.25">
      <c r="A7" s="28">
        <v>0.61</v>
      </c>
      <c r="B7" s="28">
        <v>1.1999999999999999E-3</v>
      </c>
      <c r="C7" s="28">
        <v>-5.93</v>
      </c>
      <c r="D7" s="28">
        <v>10.76</v>
      </c>
      <c r="E7" s="28">
        <v>0.27300000000000002</v>
      </c>
      <c r="F7" s="28">
        <v>54833</v>
      </c>
      <c r="G7" s="28">
        <v>5402</v>
      </c>
      <c r="H7" s="28">
        <v>388495</v>
      </c>
      <c r="I7" s="28">
        <v>11.32</v>
      </c>
      <c r="J7" s="28">
        <v>121.45</v>
      </c>
      <c r="K7" s="28">
        <v>15.39</v>
      </c>
      <c r="L7" s="28" t="s">
        <v>22</v>
      </c>
      <c r="M7" s="28">
        <v>121.05</v>
      </c>
      <c r="N7" s="28">
        <v>121.9</v>
      </c>
      <c r="O7" s="28" t="s">
        <v>22</v>
      </c>
      <c r="P7" s="29">
        <v>19400</v>
      </c>
      <c r="Q7" s="28" t="s">
        <v>22</v>
      </c>
      <c r="R7" s="28">
        <v>89.3</v>
      </c>
      <c r="S7" s="28">
        <v>89.85</v>
      </c>
      <c r="T7" s="28" t="s">
        <v>22</v>
      </c>
      <c r="U7" s="28">
        <v>-24.9</v>
      </c>
      <c r="V7" s="28">
        <v>88.5</v>
      </c>
      <c r="W7" s="28">
        <v>11.32</v>
      </c>
      <c r="X7" s="28">
        <v>363127</v>
      </c>
      <c r="Y7" s="28">
        <v>24948</v>
      </c>
      <c r="Z7" s="28">
        <v>78122</v>
      </c>
      <c r="AA7" s="28">
        <v>-0.16</v>
      </c>
      <c r="AB7" s="28">
        <v>10.76</v>
      </c>
      <c r="AC7" s="28">
        <v>-5.93</v>
      </c>
      <c r="AD7" s="28">
        <v>1.1999999999999999E-3</v>
      </c>
      <c r="AE7" s="28">
        <v>-0.39</v>
      </c>
    </row>
    <row r="8" spans="1:31" x14ac:dyDescent="0.25">
      <c r="A8" s="29">
        <v>0.56999999999999995</v>
      </c>
      <c r="B8" s="29">
        <v>2E-3</v>
      </c>
      <c r="C8" s="29">
        <v>-2.69</v>
      </c>
      <c r="D8" s="29">
        <v>10.99</v>
      </c>
      <c r="E8" s="29">
        <v>0.22900000000000001</v>
      </c>
      <c r="F8" s="29">
        <v>20927</v>
      </c>
      <c r="G8" s="29">
        <v>6293</v>
      </c>
      <c r="H8" s="29">
        <v>166189</v>
      </c>
      <c r="I8" s="29">
        <v>6.87</v>
      </c>
      <c r="J8" s="29">
        <v>95.1</v>
      </c>
      <c r="K8" s="29">
        <v>16.05</v>
      </c>
      <c r="L8" s="29" t="s">
        <v>22</v>
      </c>
      <c r="M8" s="29">
        <v>94.65</v>
      </c>
      <c r="N8" s="29">
        <v>95.35</v>
      </c>
      <c r="O8" s="29" t="s">
        <v>22</v>
      </c>
      <c r="P8" s="29">
        <v>19450</v>
      </c>
      <c r="Q8" s="29" t="s">
        <v>22</v>
      </c>
      <c r="R8" s="29">
        <v>113</v>
      </c>
      <c r="S8" s="29">
        <v>113.45</v>
      </c>
      <c r="T8" s="29" t="s">
        <v>22</v>
      </c>
      <c r="U8" s="29">
        <v>-21.2</v>
      </c>
      <c r="V8" s="29">
        <v>113</v>
      </c>
      <c r="W8" s="29">
        <v>6.87</v>
      </c>
      <c r="X8" s="29">
        <v>99380</v>
      </c>
      <c r="Y8" s="29">
        <v>10604</v>
      </c>
      <c r="Z8" s="29">
        <v>16473</v>
      </c>
      <c r="AA8" s="29">
        <v>-0.186</v>
      </c>
      <c r="AB8" s="29">
        <v>10.99</v>
      </c>
      <c r="AC8" s="29">
        <v>-2.69</v>
      </c>
      <c r="AD8" s="29">
        <v>2E-3</v>
      </c>
      <c r="AE8" s="29">
        <v>-0.43</v>
      </c>
    </row>
    <row r="9" spans="1:31" x14ac:dyDescent="0.25">
      <c r="A9" s="28">
        <v>0.47</v>
      </c>
      <c r="B9" s="28">
        <v>2E-3</v>
      </c>
      <c r="C9" s="28">
        <v>-2.38</v>
      </c>
      <c r="D9" s="28">
        <v>11.14</v>
      </c>
      <c r="E9" s="28">
        <v>0.188</v>
      </c>
      <c r="F9" s="28">
        <v>76799</v>
      </c>
      <c r="G9" s="28">
        <v>8518</v>
      </c>
      <c r="H9" s="28">
        <v>336172</v>
      </c>
      <c r="I9" s="28">
        <v>7.1</v>
      </c>
      <c r="J9" s="28">
        <v>71.75</v>
      </c>
      <c r="K9" s="28">
        <v>16.29</v>
      </c>
      <c r="L9" s="28" t="s">
        <v>22</v>
      </c>
      <c r="M9" s="28">
        <v>71.8</v>
      </c>
      <c r="N9" s="28">
        <v>72.3</v>
      </c>
      <c r="O9" s="28" t="s">
        <v>22</v>
      </c>
      <c r="P9" s="29">
        <v>19500</v>
      </c>
      <c r="Q9" s="28" t="s">
        <v>22</v>
      </c>
      <c r="R9" s="28">
        <v>138.75</v>
      </c>
      <c r="S9" s="28">
        <v>141.1</v>
      </c>
      <c r="T9" s="28" t="s">
        <v>22</v>
      </c>
      <c r="U9" s="28">
        <v>-19.52</v>
      </c>
      <c r="V9" s="28">
        <v>140</v>
      </c>
      <c r="W9" s="28">
        <v>7.1</v>
      </c>
      <c r="X9" s="28">
        <v>137525</v>
      </c>
      <c r="Y9" s="28">
        <v>6634</v>
      </c>
      <c r="Z9" s="28">
        <v>53001</v>
      </c>
      <c r="AA9" s="28">
        <v>-0.21099999999999999</v>
      </c>
      <c r="AB9" s="28">
        <v>11.14</v>
      </c>
      <c r="AC9" s="28">
        <v>-2.38</v>
      </c>
      <c r="AD9" s="28">
        <v>2E-3</v>
      </c>
      <c r="AE9" s="28">
        <v>-0.53</v>
      </c>
    </row>
    <row r="10" spans="1:31" x14ac:dyDescent="0.25">
      <c r="A10" s="28">
        <v>0.38</v>
      </c>
      <c r="B10" s="28">
        <v>1.9E-3</v>
      </c>
      <c r="C10" s="28">
        <v>-1.75</v>
      </c>
      <c r="D10" s="28">
        <v>10.63</v>
      </c>
      <c r="E10" s="28">
        <v>0.151</v>
      </c>
      <c r="F10" s="28">
        <v>22416</v>
      </c>
      <c r="G10" s="28">
        <v>2463</v>
      </c>
      <c r="H10" s="28">
        <v>123951</v>
      </c>
      <c r="I10" s="28">
        <v>7.28</v>
      </c>
      <c r="J10" s="28">
        <v>52.85</v>
      </c>
      <c r="K10" s="28">
        <v>17.440000000000001</v>
      </c>
      <c r="L10" s="28" t="s">
        <v>22</v>
      </c>
      <c r="M10" s="28">
        <v>53</v>
      </c>
      <c r="N10" s="28">
        <v>53.45</v>
      </c>
      <c r="O10" s="28" t="s">
        <v>22</v>
      </c>
      <c r="P10" s="29">
        <v>19550</v>
      </c>
      <c r="Q10" s="28" t="s">
        <v>22</v>
      </c>
      <c r="R10" s="28">
        <v>168.3</v>
      </c>
      <c r="S10" s="28">
        <v>171.95</v>
      </c>
      <c r="T10" s="28" t="s">
        <v>22</v>
      </c>
      <c r="U10" s="28">
        <v>-16.829999999999998</v>
      </c>
      <c r="V10" s="28">
        <v>171.5</v>
      </c>
      <c r="W10" s="28">
        <v>7.28</v>
      </c>
      <c r="X10" s="28">
        <v>15529</v>
      </c>
      <c r="Y10" s="28">
        <v>-42</v>
      </c>
      <c r="Z10" s="28">
        <v>4405</v>
      </c>
      <c r="AA10" s="28">
        <v>-0.23400000000000001</v>
      </c>
      <c r="AB10" s="28">
        <v>10.63</v>
      </c>
      <c r="AC10" s="28">
        <v>-1.75</v>
      </c>
      <c r="AD10" s="28">
        <v>1.9E-3</v>
      </c>
      <c r="AE10" s="28">
        <v>-0.62</v>
      </c>
    </row>
    <row r="11" spans="1:31" x14ac:dyDescent="0.25">
      <c r="A11" s="28">
        <v>0.28999999999999998</v>
      </c>
      <c r="B11" s="28">
        <v>1.6000000000000001E-3</v>
      </c>
      <c r="C11" s="28">
        <v>-0.91</v>
      </c>
      <c r="D11" s="28">
        <v>9.6199999999999992</v>
      </c>
      <c r="E11" s="28">
        <v>0.11700000000000001</v>
      </c>
      <c r="F11" s="28">
        <v>71318</v>
      </c>
      <c r="G11" s="28">
        <v>10683</v>
      </c>
      <c r="H11" s="28">
        <v>285590</v>
      </c>
      <c r="I11" s="28">
        <v>7.43</v>
      </c>
      <c r="J11" s="28">
        <v>38</v>
      </c>
      <c r="K11" s="28">
        <v>18.010000000000002</v>
      </c>
      <c r="L11" s="28" t="s">
        <v>22</v>
      </c>
      <c r="M11" s="28">
        <v>37.6</v>
      </c>
      <c r="N11" s="28">
        <v>38.25</v>
      </c>
      <c r="O11" s="28" t="s">
        <v>22</v>
      </c>
      <c r="P11" s="29">
        <v>19600</v>
      </c>
      <c r="Q11" s="28" t="s">
        <v>22</v>
      </c>
      <c r="R11" s="28">
        <v>205</v>
      </c>
      <c r="S11" s="28">
        <v>207.55</v>
      </c>
      <c r="T11" s="28" t="s">
        <v>22</v>
      </c>
      <c r="U11" s="28">
        <v>-16.34</v>
      </c>
      <c r="V11" s="28">
        <v>205</v>
      </c>
      <c r="W11" s="28">
        <v>7.43</v>
      </c>
      <c r="X11" s="28">
        <v>44761</v>
      </c>
      <c r="Y11" s="28">
        <v>1422</v>
      </c>
      <c r="Z11" s="28">
        <v>15758</v>
      </c>
      <c r="AA11" s="28">
        <v>-0.25700000000000001</v>
      </c>
      <c r="AB11" s="28">
        <v>9.6199999999999992</v>
      </c>
      <c r="AC11" s="28">
        <v>-0.91</v>
      </c>
      <c r="AD11" s="28">
        <v>1.6000000000000001E-3</v>
      </c>
      <c r="AE11" s="28">
        <v>-0.71</v>
      </c>
    </row>
    <row r="12" spans="1:31" x14ac:dyDescent="0.25">
      <c r="A12" s="28">
        <v>0.22</v>
      </c>
      <c r="B12" s="28">
        <v>1.4E-3</v>
      </c>
      <c r="C12" s="28">
        <v>0.19</v>
      </c>
      <c r="D12" s="28">
        <v>8.2100000000000009</v>
      </c>
      <c r="E12" s="28">
        <v>8.6999999999999994E-2</v>
      </c>
      <c r="F12" s="28">
        <v>38111</v>
      </c>
      <c r="G12" s="28">
        <v>18226</v>
      </c>
      <c r="H12" s="28">
        <v>132065</v>
      </c>
      <c r="I12" s="28">
        <v>7.44</v>
      </c>
      <c r="J12" s="28">
        <v>25.6</v>
      </c>
      <c r="K12" s="28">
        <v>12.28</v>
      </c>
      <c r="L12" s="28" t="s">
        <v>22</v>
      </c>
      <c r="M12" s="28">
        <v>25.65</v>
      </c>
      <c r="N12" s="28">
        <v>27.85</v>
      </c>
      <c r="O12" s="28" t="s">
        <v>22</v>
      </c>
      <c r="P12" s="29">
        <v>19650</v>
      </c>
      <c r="Q12" s="28" t="s">
        <v>22</v>
      </c>
      <c r="R12" s="28">
        <v>241.35</v>
      </c>
      <c r="S12" s="28">
        <v>244.95</v>
      </c>
      <c r="T12" s="28" t="s">
        <v>22</v>
      </c>
      <c r="U12" s="28">
        <v>-15.03</v>
      </c>
      <c r="V12" s="28">
        <v>242.55</v>
      </c>
      <c r="W12" s="28">
        <v>7.44</v>
      </c>
      <c r="X12" s="28">
        <v>3553</v>
      </c>
      <c r="Y12" s="28">
        <v>-82</v>
      </c>
      <c r="Z12" s="28">
        <v>1989</v>
      </c>
      <c r="AA12" s="28">
        <v>-0.27600000000000002</v>
      </c>
      <c r="AB12" s="28">
        <v>8.2100000000000009</v>
      </c>
      <c r="AC12" s="28">
        <v>0.19</v>
      </c>
      <c r="AD12" s="28">
        <v>1.4E-3</v>
      </c>
      <c r="AE12" s="28">
        <v>-0.78</v>
      </c>
    </row>
    <row r="13" spans="1:31" x14ac:dyDescent="0.25">
      <c r="A13" s="28">
        <v>0.16</v>
      </c>
      <c r="B13" s="28">
        <v>1.1000000000000001E-3</v>
      </c>
      <c r="C13" s="28">
        <v>1.1399999999999999</v>
      </c>
      <c r="D13" s="28">
        <v>6.78</v>
      </c>
      <c r="E13" s="28">
        <v>6.4000000000000001E-2</v>
      </c>
      <c r="F13" s="28">
        <v>78449</v>
      </c>
      <c r="G13" s="28">
        <v>16311</v>
      </c>
      <c r="H13" s="28">
        <v>194077</v>
      </c>
      <c r="I13" s="28">
        <v>7.6</v>
      </c>
      <c r="J13" s="28">
        <v>17.649999999999999</v>
      </c>
      <c r="K13" s="28">
        <v>11.01</v>
      </c>
      <c r="L13" s="28" t="s">
        <v>22</v>
      </c>
      <c r="M13" s="28">
        <v>17.649999999999999</v>
      </c>
      <c r="N13" s="28">
        <v>17.899999999999999</v>
      </c>
      <c r="O13" s="28" t="s">
        <v>22</v>
      </c>
      <c r="P13" s="29">
        <v>19700</v>
      </c>
      <c r="Q13" s="28" t="s">
        <v>22</v>
      </c>
      <c r="R13" s="28">
        <v>280.05</v>
      </c>
      <c r="S13" s="28">
        <v>285.5</v>
      </c>
      <c r="T13" s="28" t="s">
        <v>22</v>
      </c>
      <c r="U13" s="28">
        <v>-14.92</v>
      </c>
      <c r="V13" s="28">
        <v>280</v>
      </c>
      <c r="W13" s="28">
        <v>7.6</v>
      </c>
      <c r="X13" s="28">
        <v>10219</v>
      </c>
      <c r="Y13" s="28">
        <v>533</v>
      </c>
      <c r="Z13" s="28">
        <v>18552</v>
      </c>
      <c r="AA13" s="28">
        <v>-0.29399999999999998</v>
      </c>
      <c r="AB13" s="28">
        <v>6.78</v>
      </c>
      <c r="AC13" s="28">
        <v>1.1399999999999999</v>
      </c>
      <c r="AD13" s="28">
        <v>1.1000000000000001E-3</v>
      </c>
      <c r="AE13" s="28">
        <v>-0.84</v>
      </c>
    </row>
    <row r="14" spans="1:3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</row>
    <row r="15" spans="1:3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</row>
    <row r="16" spans="1:3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</row>
    <row r="17" spans="1:3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</row>
    <row r="18" spans="1:31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  <row r="110" spans="1:31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</row>
    <row r="111" spans="1:31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</row>
    <row r="112" spans="1:3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</row>
    <row r="113" spans="1:31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</row>
    <row r="114" spans="1:31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</row>
    <row r="115" spans="1:31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</row>
    <row r="116" spans="1:31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</row>
    <row r="117" spans="1:31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</row>
    <row r="118" spans="1:31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</row>
    <row r="119" spans="1:31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</row>
    <row r="120" spans="1:31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</row>
    <row r="121" spans="1:31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</row>
    <row r="122" spans="1:31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</row>
    <row r="123" spans="1:31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</row>
    <row r="124" spans="1:31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</row>
    <row r="125" spans="1:31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</row>
    <row r="126" spans="1:31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</row>
    <row r="127" spans="1:31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</row>
    <row r="128" spans="1:31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</row>
    <row r="129" spans="1:31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</row>
    <row r="130" spans="1:31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</row>
    <row r="131" spans="1:31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</row>
    <row r="132" spans="1:31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</row>
    <row r="133" spans="1:31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</row>
    <row r="134" spans="1:31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</row>
    <row r="135" spans="1:31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</row>
    <row r="136" spans="1:31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</row>
    <row r="137" spans="1:31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</row>
    <row r="138" spans="1:31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</row>
    <row r="139" spans="1:31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</row>
    <row r="140" spans="1:31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</row>
    <row r="141" spans="1:31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</row>
    <row r="142" spans="1:31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</row>
    <row r="143" spans="1:31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</row>
    <row r="144" spans="1:31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</row>
    <row r="145" spans="1:31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</row>
    <row r="146" spans="1:31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</row>
    <row r="147" spans="1:31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</row>
    <row r="148" spans="1:31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</row>
    <row r="149" spans="1:31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</row>
    <row r="150" spans="1:31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</row>
    <row r="151" spans="1:31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</row>
    <row r="152" spans="1:31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</row>
    <row r="153" spans="1:31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</row>
    <row r="154" spans="1:31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</row>
    <row r="155" spans="1:31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</row>
    <row r="156" spans="1:31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</row>
    <row r="157" spans="1:31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</row>
    <row r="158" spans="1:31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</row>
    <row r="159" spans="1:31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</row>
    <row r="160" spans="1:31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</row>
    <row r="161" spans="1:31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</row>
    <row r="162" spans="1:31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</row>
    <row r="163" spans="1:31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</row>
    <row r="164" spans="1:31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</row>
    <row r="165" spans="1:31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</row>
    <row r="166" spans="1:31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</row>
    <row r="167" spans="1:31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</row>
    <row r="168" spans="1:31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</row>
    <row r="169" spans="1:31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</row>
    <row r="170" spans="1:31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</row>
    <row r="171" spans="1:31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</row>
    <row r="172" spans="1:31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</row>
    <row r="173" spans="1:31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</row>
    <row r="174" spans="1:31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</row>
    <row r="175" spans="1:31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</row>
    <row r="176" spans="1:31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</row>
    <row r="177" spans="1:31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</row>
    <row r="178" spans="1:31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</row>
    <row r="179" spans="1:31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</row>
    <row r="180" spans="1:31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</row>
    <row r="181" spans="1:31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</row>
    <row r="182" spans="1:31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</row>
    <row r="183" spans="1:31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</row>
    <row r="184" spans="1:31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</row>
    <row r="185" spans="1:31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</row>
    <row r="186" spans="1:31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</row>
    <row r="187" spans="1:31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</row>
    <row r="188" spans="1:31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</row>
    <row r="189" spans="1:31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</row>
    <row r="190" spans="1:31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</row>
    <row r="191" spans="1:31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</row>
    <row r="192" spans="1:31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</row>
    <row r="193" spans="1:31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</row>
    <row r="194" spans="1:31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</row>
    <row r="195" spans="1:31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</row>
    <row r="196" spans="1:31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</row>
    <row r="197" spans="1:31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</row>
    <row r="198" spans="1:31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</row>
    <row r="199" spans="1:31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</row>
    <row r="200" spans="1:31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</row>
    <row r="201" spans="1:31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</row>
    <row r="202" spans="1:31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</row>
    <row r="203" spans="1:31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</row>
    <row r="204" spans="1:31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</row>
    <row r="205" spans="1:31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</row>
    <row r="206" spans="1:31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</row>
    <row r="207" spans="1:31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</row>
    <row r="208" spans="1:31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</row>
    <row r="209" spans="1:31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</row>
    <row r="210" spans="1:31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</row>
    <row r="211" spans="1:31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</row>
    <row r="212" spans="1:31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</row>
    <row r="213" spans="1:31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</row>
    <row r="214" spans="1:31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</row>
    <row r="215" spans="1:31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</row>
    <row r="216" spans="1:31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</row>
    <row r="217" spans="1:31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</row>
    <row r="218" spans="1:31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</row>
    <row r="219" spans="1:31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</row>
    <row r="220" spans="1:31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</row>
    <row r="221" spans="1:31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</row>
    <row r="222" spans="1:31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</row>
    <row r="223" spans="1:31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</row>
    <row r="224" spans="1:31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</row>
    <row r="225" spans="1:31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</row>
    <row r="226" spans="1:31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</row>
    <row r="227" spans="1:31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</row>
    <row r="228" spans="1:31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</row>
    <row r="229" spans="1:31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</row>
    <row r="230" spans="1:31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</row>
    <row r="231" spans="1:31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</row>
    <row r="232" spans="1:31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</row>
    <row r="233" spans="1:31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</row>
    <row r="234" spans="1:31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</row>
    <row r="235" spans="1:31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</row>
    <row r="236" spans="1:31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</row>
    <row r="237" spans="1:31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</row>
    <row r="238" spans="1:31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</row>
    <row r="239" spans="1:31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</row>
    <row r="240" spans="1:31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</row>
    <row r="241" spans="1:31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</row>
    <row r="242" spans="1:31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</row>
    <row r="243" spans="1:31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</row>
    <row r="244" spans="1:31" x14ac:dyDescent="0.2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</row>
    <row r="245" spans="1:31" x14ac:dyDescent="0.2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</row>
    <row r="246" spans="1:31" x14ac:dyDescent="0.2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</row>
    <row r="247" spans="1:31" x14ac:dyDescent="0.2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</row>
    <row r="248" spans="1:31" x14ac:dyDescent="0.2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</row>
    <row r="249" spans="1:31" x14ac:dyDescent="0.2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</row>
    <row r="250" spans="1:31" x14ac:dyDescent="0.2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</row>
    <row r="251" spans="1:31" x14ac:dyDescent="0.2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</row>
    <row r="252" spans="1:31" x14ac:dyDescent="0.2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</row>
    <row r="253" spans="1:31" x14ac:dyDescent="0.2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</row>
    <row r="254" spans="1:31" x14ac:dyDescent="0.2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</row>
    <row r="255" spans="1:31" x14ac:dyDescent="0.2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</row>
    <row r="256" spans="1:31" x14ac:dyDescent="0.2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</row>
    <row r="257" spans="1:31" x14ac:dyDescent="0.2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</row>
    <row r="258" spans="1:31" x14ac:dyDescent="0.2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</row>
    <row r="259" spans="1:31" x14ac:dyDescent="0.2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</row>
    <row r="260" spans="1:31" x14ac:dyDescent="0.2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</row>
    <row r="261" spans="1:31" x14ac:dyDescent="0.2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</row>
    <row r="262" spans="1:31" x14ac:dyDescent="0.2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</row>
    <row r="263" spans="1:31" x14ac:dyDescent="0.2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</row>
    <row r="264" spans="1:31" x14ac:dyDescent="0.2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</row>
    <row r="265" spans="1:31" x14ac:dyDescent="0.2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</row>
    <row r="266" spans="1:31" x14ac:dyDescent="0.2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</row>
    <row r="267" spans="1:31" x14ac:dyDescent="0.2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</row>
    <row r="268" spans="1:31" x14ac:dyDescent="0.2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</row>
    <row r="269" spans="1:31" x14ac:dyDescent="0.2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</row>
    <row r="270" spans="1:31" x14ac:dyDescent="0.2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</row>
    <row r="271" spans="1:31" x14ac:dyDescent="0.2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</row>
    <row r="272" spans="1:31" x14ac:dyDescent="0.2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</row>
    <row r="273" spans="1:31" x14ac:dyDescent="0.2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</row>
    <row r="274" spans="1:31" x14ac:dyDescent="0.2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</row>
    <row r="275" spans="1:31" x14ac:dyDescent="0.2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</row>
    <row r="276" spans="1:31" x14ac:dyDescent="0.2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</row>
    <row r="277" spans="1:31" x14ac:dyDescent="0.2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</row>
    <row r="278" spans="1:31" x14ac:dyDescent="0.2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</row>
    <row r="279" spans="1:31" x14ac:dyDescent="0.2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</row>
    <row r="280" spans="1:31" x14ac:dyDescent="0.2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</row>
    <row r="281" spans="1:31" x14ac:dyDescent="0.2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</row>
    <row r="282" spans="1:31" x14ac:dyDescent="0.2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</row>
    <row r="283" spans="1:31" x14ac:dyDescent="0.2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</row>
    <row r="284" spans="1:31" x14ac:dyDescent="0.2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</row>
    <row r="285" spans="1:31" x14ac:dyDescent="0.2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</row>
    <row r="286" spans="1:31" x14ac:dyDescent="0.2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</row>
    <row r="287" spans="1:31" x14ac:dyDescent="0.2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</row>
    <row r="288" spans="1:31" x14ac:dyDescent="0.2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</row>
    <row r="289" spans="1:31" x14ac:dyDescent="0.2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</row>
    <row r="290" spans="1:31" x14ac:dyDescent="0.2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</row>
    <row r="291" spans="1:31" x14ac:dyDescent="0.2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</row>
    <row r="292" spans="1:31" x14ac:dyDescent="0.2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</row>
    <row r="293" spans="1:31" x14ac:dyDescent="0.2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</row>
    <row r="294" spans="1:31" x14ac:dyDescent="0.2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</row>
    <row r="295" spans="1:31" x14ac:dyDescent="0.2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</row>
    <row r="296" spans="1:31" x14ac:dyDescent="0.2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</row>
    <row r="297" spans="1:31" x14ac:dyDescent="0.2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</row>
    <row r="298" spans="1:31" x14ac:dyDescent="0.2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</row>
    <row r="299" spans="1:31" x14ac:dyDescent="0.2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</row>
    <row r="300" spans="1:31" x14ac:dyDescent="0.2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</row>
    <row r="301" spans="1:31" x14ac:dyDescent="0.2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</row>
    <row r="302" spans="1:31" x14ac:dyDescent="0.2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</row>
    <row r="303" spans="1:31" x14ac:dyDescent="0.2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</row>
    <row r="304" spans="1:31" x14ac:dyDescent="0.2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</row>
    <row r="305" spans="1:31" x14ac:dyDescent="0.2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</row>
    <row r="306" spans="1:31" x14ac:dyDescent="0.2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</row>
    <row r="307" spans="1:31" x14ac:dyDescent="0.2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</row>
    <row r="308" spans="1:31" x14ac:dyDescent="0.2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</row>
    <row r="309" spans="1:31" x14ac:dyDescent="0.2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</row>
    <row r="310" spans="1:31" x14ac:dyDescent="0.2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</row>
    <row r="311" spans="1:31" x14ac:dyDescent="0.2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</row>
    <row r="312" spans="1:31" x14ac:dyDescent="0.2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</row>
    <row r="313" spans="1:31" x14ac:dyDescent="0.2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</row>
    <row r="314" spans="1:31" x14ac:dyDescent="0.2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</row>
    <row r="315" spans="1:31" x14ac:dyDescent="0.2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</row>
    <row r="316" spans="1:31" x14ac:dyDescent="0.2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</row>
    <row r="317" spans="1:31" x14ac:dyDescent="0.2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</row>
    <row r="318" spans="1:31" x14ac:dyDescent="0.2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</row>
    <row r="319" spans="1:31" x14ac:dyDescent="0.2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</row>
    <row r="320" spans="1:31" x14ac:dyDescent="0.2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</row>
    <row r="321" spans="1:31" x14ac:dyDescent="0.2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</row>
    <row r="322" spans="1:31" x14ac:dyDescent="0.2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</row>
    <row r="323" spans="1:31" x14ac:dyDescent="0.2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</row>
    <row r="324" spans="1:31" x14ac:dyDescent="0.2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</row>
    <row r="325" spans="1:31" x14ac:dyDescent="0.2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</row>
    <row r="326" spans="1:31" x14ac:dyDescent="0.2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</row>
    <row r="327" spans="1:31" x14ac:dyDescent="0.2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</row>
    <row r="328" spans="1:31" x14ac:dyDescent="0.2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</row>
    <row r="329" spans="1:31" x14ac:dyDescent="0.2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</row>
    <row r="330" spans="1:31" x14ac:dyDescent="0.2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</row>
    <row r="331" spans="1:31" x14ac:dyDescent="0.2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</row>
    <row r="332" spans="1:31" x14ac:dyDescent="0.2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</row>
    <row r="333" spans="1:31" x14ac:dyDescent="0.2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</row>
    <row r="334" spans="1:31" x14ac:dyDescent="0.2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</row>
    <row r="335" spans="1:31" x14ac:dyDescent="0.2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</row>
    <row r="336" spans="1:31" x14ac:dyDescent="0.2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</row>
    <row r="337" spans="1:31" x14ac:dyDescent="0.2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</row>
    <row r="338" spans="1:31" x14ac:dyDescent="0.2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</row>
    <row r="339" spans="1:31" x14ac:dyDescent="0.2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</row>
    <row r="340" spans="1:31" x14ac:dyDescent="0.2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</row>
    <row r="341" spans="1:31" x14ac:dyDescent="0.2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</row>
    <row r="342" spans="1:31" x14ac:dyDescent="0.2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</row>
    <row r="343" spans="1:31" x14ac:dyDescent="0.2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</row>
    <row r="344" spans="1:31" x14ac:dyDescent="0.2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</row>
    <row r="345" spans="1:31" x14ac:dyDescent="0.2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</row>
    <row r="346" spans="1:31" x14ac:dyDescent="0.2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</row>
    <row r="347" spans="1:31" x14ac:dyDescent="0.2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</row>
    <row r="348" spans="1:31" x14ac:dyDescent="0.2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</row>
    <row r="349" spans="1:31" x14ac:dyDescent="0.2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</row>
    <row r="350" spans="1:31" x14ac:dyDescent="0.2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</row>
    <row r="351" spans="1:31" x14ac:dyDescent="0.2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</row>
    <row r="352" spans="1:31" x14ac:dyDescent="0.2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</row>
    <row r="353" spans="1:31" x14ac:dyDescent="0.2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</row>
    <row r="354" spans="1:31" x14ac:dyDescent="0.2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</row>
    <row r="355" spans="1:31" x14ac:dyDescent="0.2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</row>
    <row r="356" spans="1:31" x14ac:dyDescent="0.2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</row>
    <row r="357" spans="1:31" x14ac:dyDescent="0.2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</row>
    <row r="358" spans="1:31" x14ac:dyDescent="0.2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</row>
    <row r="359" spans="1:31" x14ac:dyDescent="0.2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</row>
    <row r="360" spans="1:31" x14ac:dyDescent="0.2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</row>
    <row r="361" spans="1:31" x14ac:dyDescent="0.2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</row>
    <row r="362" spans="1:31" x14ac:dyDescent="0.2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</row>
    <row r="363" spans="1:31" x14ac:dyDescent="0.2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</row>
    <row r="364" spans="1:31" x14ac:dyDescent="0.2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</row>
    <row r="365" spans="1:31" x14ac:dyDescent="0.2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</row>
    <row r="366" spans="1:31" x14ac:dyDescent="0.2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</row>
    <row r="367" spans="1:31" x14ac:dyDescent="0.2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</row>
    <row r="368" spans="1:31" x14ac:dyDescent="0.2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</row>
    <row r="369" spans="1:31" x14ac:dyDescent="0.2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</row>
    <row r="370" spans="1:31" x14ac:dyDescent="0.2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</row>
    <row r="371" spans="1:31" x14ac:dyDescent="0.2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</row>
    <row r="372" spans="1:31" x14ac:dyDescent="0.2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</row>
    <row r="373" spans="1:31" x14ac:dyDescent="0.2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</row>
    <row r="374" spans="1:31" x14ac:dyDescent="0.2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</row>
    <row r="375" spans="1:31" x14ac:dyDescent="0.2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</row>
    <row r="376" spans="1:31" x14ac:dyDescent="0.2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</row>
    <row r="377" spans="1:31" x14ac:dyDescent="0.2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</row>
    <row r="378" spans="1:31" x14ac:dyDescent="0.2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</row>
    <row r="379" spans="1:31" x14ac:dyDescent="0.2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</row>
    <row r="380" spans="1:31" x14ac:dyDescent="0.2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</row>
    <row r="381" spans="1:31" x14ac:dyDescent="0.2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</row>
    <row r="382" spans="1:31" x14ac:dyDescent="0.2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</row>
    <row r="383" spans="1:31" x14ac:dyDescent="0.2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</row>
    <row r="384" spans="1:31" x14ac:dyDescent="0.2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</row>
    <row r="385" spans="1:31" x14ac:dyDescent="0.2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</row>
    <row r="386" spans="1:31" x14ac:dyDescent="0.2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</row>
    <row r="387" spans="1:31" x14ac:dyDescent="0.2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</row>
    <row r="388" spans="1:31" x14ac:dyDescent="0.2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</row>
    <row r="389" spans="1:31" x14ac:dyDescent="0.2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</row>
    <row r="390" spans="1:31" x14ac:dyDescent="0.2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</row>
    <row r="391" spans="1:31" x14ac:dyDescent="0.2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</row>
    <row r="392" spans="1:31" x14ac:dyDescent="0.2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</row>
    <row r="393" spans="1:31" x14ac:dyDescent="0.2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</row>
    <row r="394" spans="1:31" x14ac:dyDescent="0.2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</row>
    <row r="395" spans="1:31" x14ac:dyDescent="0.2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</row>
    <row r="396" spans="1:31" x14ac:dyDescent="0.2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</row>
    <row r="397" spans="1:31" x14ac:dyDescent="0.2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</row>
    <row r="398" spans="1:31" x14ac:dyDescent="0.2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</row>
    <row r="399" spans="1:31" x14ac:dyDescent="0.2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</row>
    <row r="400" spans="1:31" x14ac:dyDescent="0.2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</row>
    <row r="401" spans="1:31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</row>
    <row r="402" spans="1:31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</row>
    <row r="403" spans="1:31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</row>
    <row r="404" spans="1:31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</row>
    <row r="405" spans="1:31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</row>
    <row r="406" spans="1:31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</row>
    <row r="407" spans="1:31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</row>
    <row r="408" spans="1:31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</row>
    <row r="409" spans="1:31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</row>
    <row r="410" spans="1:31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</row>
    <row r="411" spans="1:31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</row>
    <row r="412" spans="1:31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</row>
    <row r="413" spans="1:31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</row>
    <row r="414" spans="1:31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</row>
    <row r="415" spans="1:31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</row>
    <row r="416" spans="1:31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</row>
    <row r="417" spans="1:31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</row>
    <row r="418" spans="1:31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</row>
    <row r="419" spans="1:31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</row>
    <row r="420" spans="1:31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</row>
    <row r="421" spans="1:31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</row>
    <row r="422" spans="1:31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</row>
    <row r="423" spans="1:31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</row>
    <row r="424" spans="1:31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</row>
    <row r="425" spans="1:31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</row>
    <row r="426" spans="1:31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</row>
    <row r="427" spans="1:31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</row>
    <row r="428" spans="1:31" x14ac:dyDescent="0.25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</row>
    <row r="429" spans="1:31" x14ac:dyDescent="0.25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</row>
    <row r="430" spans="1:31" x14ac:dyDescent="0.25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</row>
    <row r="431" spans="1:31" x14ac:dyDescent="0.25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</row>
    <row r="432" spans="1:31" x14ac:dyDescent="0.25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</row>
    <row r="433" spans="1:31" x14ac:dyDescent="0.25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</row>
    <row r="434" spans="1:31" x14ac:dyDescent="0.25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</row>
    <row r="435" spans="1:31" x14ac:dyDescent="0.25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</row>
    <row r="436" spans="1:31" x14ac:dyDescent="0.25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</row>
    <row r="437" spans="1:31" x14ac:dyDescent="0.25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</row>
    <row r="438" spans="1:31" x14ac:dyDescent="0.25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</row>
    <row r="439" spans="1:31" x14ac:dyDescent="0.25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</row>
    <row r="440" spans="1:31" x14ac:dyDescent="0.25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</row>
    <row r="441" spans="1:31" x14ac:dyDescent="0.25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</row>
    <row r="442" spans="1:31" x14ac:dyDescent="0.25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</row>
    <row r="443" spans="1:31" x14ac:dyDescent="0.25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</row>
    <row r="444" spans="1:31" x14ac:dyDescent="0.25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</row>
    <row r="445" spans="1:31" x14ac:dyDescent="0.25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</row>
    <row r="446" spans="1:31" x14ac:dyDescent="0.25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</row>
    <row r="447" spans="1:31" x14ac:dyDescent="0.25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</row>
    <row r="448" spans="1:31" x14ac:dyDescent="0.25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</row>
    <row r="449" spans="1:31" x14ac:dyDescent="0.25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</row>
    <row r="450" spans="1:31" x14ac:dyDescent="0.25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</row>
    <row r="451" spans="1:31" x14ac:dyDescent="0.25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</row>
    <row r="452" spans="1:31" x14ac:dyDescent="0.25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</row>
    <row r="453" spans="1:31" x14ac:dyDescent="0.25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</row>
    <row r="454" spans="1:31" x14ac:dyDescent="0.25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</row>
    <row r="455" spans="1:31" x14ac:dyDescent="0.25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</row>
    <row r="456" spans="1:31" x14ac:dyDescent="0.25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</row>
    <row r="457" spans="1:31" x14ac:dyDescent="0.25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</row>
    <row r="458" spans="1:31" x14ac:dyDescent="0.25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</row>
    <row r="459" spans="1:31" x14ac:dyDescent="0.25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</row>
    <row r="460" spans="1:31" x14ac:dyDescent="0.25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</row>
    <row r="461" spans="1:31" x14ac:dyDescent="0.25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</row>
    <row r="462" spans="1:31" x14ac:dyDescent="0.25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</row>
    <row r="463" spans="1:31" x14ac:dyDescent="0.25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</row>
    <row r="464" spans="1:31" x14ac:dyDescent="0.25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</row>
    <row r="465" spans="1:31" x14ac:dyDescent="0.25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</row>
    <row r="466" spans="1:31" x14ac:dyDescent="0.25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</row>
    <row r="467" spans="1:31" x14ac:dyDescent="0.25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</row>
    <row r="468" spans="1:31" x14ac:dyDescent="0.25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</row>
    <row r="469" spans="1:31" x14ac:dyDescent="0.25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</row>
    <row r="470" spans="1:31" x14ac:dyDescent="0.25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</row>
    <row r="471" spans="1:31" x14ac:dyDescent="0.25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</row>
    <row r="472" spans="1:31" x14ac:dyDescent="0.25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</row>
    <row r="473" spans="1:31" x14ac:dyDescent="0.25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</row>
    <row r="474" spans="1:31" x14ac:dyDescent="0.25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</row>
    <row r="475" spans="1:31" x14ac:dyDescent="0.25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</row>
    <row r="476" spans="1:31" x14ac:dyDescent="0.25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</row>
    <row r="477" spans="1:31" x14ac:dyDescent="0.25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</row>
    <row r="478" spans="1:31" x14ac:dyDescent="0.25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</row>
    <row r="479" spans="1:31" x14ac:dyDescent="0.25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</row>
    <row r="480" spans="1:31" x14ac:dyDescent="0.25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</row>
    <row r="481" spans="1:31" x14ac:dyDescent="0.25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</row>
    <row r="482" spans="1:31" x14ac:dyDescent="0.25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</row>
    <row r="483" spans="1:31" x14ac:dyDescent="0.25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</row>
    <row r="484" spans="1:31" x14ac:dyDescent="0.25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</row>
    <row r="485" spans="1:31" x14ac:dyDescent="0.25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</row>
    <row r="486" spans="1:31" x14ac:dyDescent="0.25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</row>
    <row r="487" spans="1:31" x14ac:dyDescent="0.25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</row>
    <row r="488" spans="1:31" x14ac:dyDescent="0.25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</row>
    <row r="489" spans="1:31" x14ac:dyDescent="0.25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</row>
    <row r="490" spans="1:31" x14ac:dyDescent="0.25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</row>
    <row r="491" spans="1:31" x14ac:dyDescent="0.25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</row>
    <row r="492" spans="1:31" x14ac:dyDescent="0.25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</row>
    <row r="493" spans="1:31" x14ac:dyDescent="0.25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</row>
    <row r="494" spans="1:31" x14ac:dyDescent="0.25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</row>
    <row r="495" spans="1:31" x14ac:dyDescent="0.25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</row>
    <row r="496" spans="1:31" x14ac:dyDescent="0.25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</row>
    <row r="497" spans="1:31" x14ac:dyDescent="0.25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</row>
    <row r="498" spans="1:31" x14ac:dyDescent="0.25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</row>
    <row r="499" spans="1:31" x14ac:dyDescent="0.25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</row>
    <row r="500" spans="1:31" x14ac:dyDescent="0.25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</row>
  </sheetData>
  <mergeCells count="2">
    <mergeCell ref="A1:O1"/>
    <mergeCell ref="Q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User_Credential</vt:lpstr>
      <vt:lpstr>Config</vt:lpstr>
      <vt:lpstr>Chartink_Result</vt:lpstr>
      <vt:lpstr>Trade_Terminal</vt:lpstr>
      <vt:lpstr>OpenPosition</vt:lpstr>
      <vt:lpstr>OrderBook</vt:lpstr>
      <vt:lpstr>Holdings</vt:lpstr>
      <vt:lpstr>Option_Chain_Input</vt:lpstr>
      <vt:lpstr>Option_Chain_Output</vt:lpstr>
      <vt:lpstr>Option_Chain_Pro_Input</vt:lpstr>
      <vt:lpstr>Option_Chain_Pro_Output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MANJESH</dc:creator>
  <cp:lastModifiedBy>Girish P</cp:lastModifiedBy>
  <dcterms:created xsi:type="dcterms:W3CDTF">2022-11-23T02:17:55Z</dcterms:created>
  <dcterms:modified xsi:type="dcterms:W3CDTF">2025-09-18T17:57:13Z</dcterms:modified>
</cp:coreProperties>
</file>